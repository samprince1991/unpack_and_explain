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ntent Plan" sheetId="1" state="visible" r:id="rId1"/>
    <sheet xmlns:r="http://schemas.openxmlformats.org/officeDocument/2006/relationships" name="Scripts" sheetId="2" state="visible" r:id="rId2"/>
    <sheet xmlns:r="http://schemas.openxmlformats.org/officeDocument/2006/relationships" name="Summary" sheetId="3" state="visible" r:id="rId3"/>
    <sheet xmlns:r="http://schemas.openxmlformats.org/officeDocument/2006/relationships" name="Brand"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3">
    <numFmt numFmtId="164" formatCode="ddd&quot;, &quot;dd\ mmm\ yyyy"/>
    <numFmt numFmtId="165" formatCode="0.0%"/>
    <numFmt numFmtId="166" formatCode="0.0"/>
  </numFmts>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0F1B2D"/>
      <sz val="16"/>
    </font>
    <font>
      <name val="Arial"/>
      <charset val="1"/>
      <family val="0"/>
      <i val="1"/>
      <color rgb="FF5B6B7F"/>
      <sz val="10"/>
    </font>
    <font>
      <name val="Arial"/>
      <charset val="1"/>
      <family val="0"/>
      <b val="1"/>
      <color rgb="FFFFFFFF"/>
      <sz val="10"/>
    </font>
    <font>
      <name val="Arial"/>
      <charset val="1"/>
      <family val="0"/>
      <b val="1"/>
      <color rgb="FF000000"/>
      <sz val="10"/>
    </font>
    <font>
      <name val="Arial"/>
      <charset val="1"/>
      <family val="0"/>
      <color rgb="FF000000"/>
      <sz val="10"/>
    </font>
    <font>
      <name val="Arial"/>
      <charset val="1"/>
      <family val="0"/>
      <color rgb="FF0000FF"/>
      <sz val="10"/>
    </font>
    <font>
      <name val="Arial"/>
      <charset val="1"/>
      <family val="0"/>
      <b val="1"/>
      <color rgb="FF0F1B2D"/>
      <sz val="10"/>
    </font>
    <font>
      <name val="Arial"/>
      <charset val="1"/>
      <family val="0"/>
      <i val="1"/>
      <color rgb="FF5B6B7F"/>
      <sz val="9"/>
    </font>
    <font>
      <name val="Arial"/>
      <charset val="1"/>
      <family val="0"/>
      <b val="1"/>
      <color rgb="FF0000FF"/>
      <sz val="10"/>
    </font>
    <font>
      <name val="Arial"/>
      <charset val="1"/>
      <family val="0"/>
      <b val="1"/>
      <color rgb="FFFFFFFF"/>
      <sz val="11"/>
    </font>
    <font>
      <name val="Arial"/>
      <charset val="1"/>
      <family val="0"/>
      <color rgb="FF5B6B7F"/>
      <sz val="10"/>
    </font>
    <font>
      <name val="Arial"/>
      <charset val="1"/>
      <family val="0"/>
      <b val="1"/>
      <color rgb="FF0F1B2D"/>
      <sz val="12"/>
    </font>
  </fonts>
  <fills count="15">
    <fill>
      <patternFill/>
    </fill>
    <fill>
      <patternFill patternType="gray125"/>
    </fill>
    <fill>
      <patternFill patternType="solid">
        <fgColor rgb="FF0F1B2D"/>
        <bgColor rgb="FF000000"/>
      </patternFill>
    </fill>
    <fill>
      <patternFill patternType="solid">
        <fgColor rgb="FFFFFF99"/>
        <bgColor rgb="FFFFEFCC"/>
      </patternFill>
    </fill>
    <fill>
      <patternFill patternType="solid">
        <fgColor rgb="FF2F6BFF"/>
        <bgColor rgb="FF0066CC"/>
      </patternFill>
    </fill>
    <fill>
      <patternFill patternType="solid">
        <fgColor rgb="FFEAF0FF"/>
        <bgColor rgb="FFE3E8EF"/>
      </patternFill>
    </fill>
    <fill>
      <patternFill patternType="solid">
        <fgColor rgb="FFFF5A5F"/>
        <bgColor rgb="FFFF6600"/>
      </patternFill>
    </fill>
    <fill>
      <patternFill patternType="solid">
        <fgColor rgb="FFFFB020"/>
        <bgColor rgb="FFFFCC00"/>
      </patternFill>
    </fill>
    <fill>
      <patternFill patternType="solid">
        <fgColor rgb="FFF7F9FC"/>
        <bgColor rgb="FFFFFFFF"/>
      </patternFill>
    </fill>
    <fill>
      <patternFill patternType="solid">
        <fgColor rgb="FF5B6B7F"/>
        <bgColor rgb="FF808080"/>
      </patternFill>
    </fill>
    <fill>
      <patternFill patternType="solid">
        <fgColor rgb="000F172A"/>
      </patternFill>
    </fill>
    <fill>
      <patternFill patternType="solid">
        <fgColor rgb="002DD4BF"/>
      </patternFill>
    </fill>
    <fill>
      <patternFill patternType="solid">
        <fgColor rgb="00F59E0B"/>
      </patternFill>
    </fill>
    <fill>
      <patternFill patternType="solid">
        <fgColor rgb="00FF5A5F"/>
      </patternFill>
    </fill>
    <fill>
      <patternFill patternType="solid">
        <fgColor rgb="0094A3B8"/>
      </patternFill>
    </fill>
  </fills>
  <borders count="6">
    <border>
      <left/>
      <right/>
      <top/>
      <bottom/>
      <diagonal/>
    </border>
    <border>
      <left style="thin">
        <color rgb="FFD5DBE5"/>
      </left>
      <right style="thin">
        <color rgb="FFD5DBE5"/>
      </right>
      <top style="thin">
        <color rgb="FFD5DBE5"/>
      </top>
      <bottom style="thin">
        <color rgb="FFD5DBE5"/>
      </bottom>
      <diagonal/>
    </border>
    <border>
      <left/>
      <right/>
      <top style="thin">
        <color rgb="FFD5DBE5"/>
      </top>
      <bottom/>
      <diagonal/>
    </border>
    <border>
      <left/>
      <right style="thin">
        <color rgb="FFD5DBE5"/>
      </right>
      <top style="thin">
        <color rgb="FFD5DBE5"/>
      </top>
      <bottom/>
      <diagonal/>
    </border>
    <border>
      <left/>
      <right/>
      <top style="thin">
        <color rgb="FFD5DBE5"/>
      </top>
      <bottom style="thin">
        <color rgb="FFD5DBE5"/>
      </bottom>
      <diagonal/>
    </border>
    <border>
      <left/>
      <right style="thin">
        <color rgb="FFD5DBE5"/>
      </right>
      <top style="thin">
        <color rgb="FFD5DBE5"/>
      </top>
      <bottom style="thin">
        <color rgb="FFD5DBE5"/>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164" fontId="9" fillId="0" borderId="1" applyAlignment="1" pivotButton="0" quotePrefix="0" xfId="0">
      <alignment horizontal="general" vertical="top" wrapText="1"/>
    </xf>
    <xf numFmtId="0" fontId="9" fillId="0" borderId="1" applyAlignment="1" pivotButton="0" quotePrefix="0" xfId="0">
      <alignment horizontal="general" vertical="top" wrapText="1"/>
    </xf>
    <xf numFmtId="3" fontId="9" fillId="0" borderId="1" applyAlignment="1" pivotButton="0" quotePrefix="0" xfId="0">
      <alignment horizontal="center" vertical="top" wrapText="1"/>
    </xf>
    <xf numFmtId="165" fontId="9" fillId="0" borderId="1" applyAlignment="1" pivotButton="0" quotePrefix="0" xfId="0">
      <alignment horizontal="center" vertical="top" wrapText="1"/>
    </xf>
    <xf numFmtId="165" fontId="8" fillId="0" borderId="1" applyAlignment="1" pivotButton="0" quotePrefix="0" xfId="0">
      <alignment horizontal="center" vertical="top" wrapText="1"/>
    </xf>
    <xf numFmtId="166" fontId="8" fillId="0" borderId="1" applyAlignment="1" pivotButton="0" quotePrefix="0" xfId="0">
      <alignment horizontal="center" vertical="top" wrapText="1"/>
    </xf>
    <xf numFmtId="0" fontId="10"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11" fillId="0" borderId="0" applyAlignment="1" pivotButton="0" quotePrefix="0" xfId="0">
      <alignment horizontal="general" vertical="bottom"/>
    </xf>
    <xf numFmtId="0" fontId="12" fillId="3" borderId="0" applyAlignment="1" pivotButton="0" quotePrefix="0" xfId="0">
      <alignment horizontal="general" vertical="bottom"/>
    </xf>
    <xf numFmtId="0" fontId="13" fillId="4" borderId="0" applyAlignment="1" pivotButton="0" quotePrefix="0" xfId="0">
      <alignment horizontal="general" vertical="center"/>
    </xf>
    <xf numFmtId="0" fontId="8" fillId="0" borderId="1" applyAlignment="1" pivotButton="0" quotePrefix="0" xfId="0">
      <alignment horizontal="center" vertical="top" wrapText="1"/>
    </xf>
    <xf numFmtId="0" fontId="7" fillId="0" borderId="1" applyAlignment="1" pivotButton="0" quotePrefix="0" xfId="0">
      <alignment horizontal="center" vertical="top" wrapText="1"/>
    </xf>
    <xf numFmtId="0" fontId="7" fillId="5" borderId="1" applyAlignment="1" pivotButton="0" quotePrefix="0" xfId="0">
      <alignment horizontal="center" vertical="top" wrapText="1"/>
    </xf>
    <xf numFmtId="0" fontId="7" fillId="5" borderId="1" applyAlignment="1" pivotButton="0" quotePrefix="0" xfId="0">
      <alignment horizontal="general" vertical="top" wrapText="1"/>
    </xf>
    <xf numFmtId="166" fontId="7" fillId="5" borderId="1" applyAlignment="1" pivotButton="0" quotePrefix="0" xfId="0">
      <alignment horizontal="center" vertical="top" wrapText="1"/>
    </xf>
    <xf numFmtId="0" fontId="7" fillId="0" borderId="0" applyAlignment="1" pivotButton="0" quotePrefix="0" xfId="0">
      <alignment horizontal="center" vertical="top" wrapText="1"/>
    </xf>
    <xf numFmtId="0" fontId="14"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3" fillId="6" borderId="0" applyAlignment="1" pivotButton="0" quotePrefix="0" xfId="0">
      <alignment horizontal="general" vertical="center"/>
    </xf>
    <xf numFmtId="0" fontId="15" fillId="0" borderId="0" applyAlignment="1" pivotButton="0" quotePrefix="0" xfId="0">
      <alignment horizontal="general" vertical="bottom"/>
    </xf>
    <xf numFmtId="0" fontId="7" fillId="0" borderId="1" applyAlignment="1" pivotButton="0" quotePrefix="0" xfId="0">
      <alignment horizontal="general" vertical="bottom"/>
    </xf>
    <xf numFmtId="1" fontId="8" fillId="0" borderId="1" applyAlignment="1" pivotButton="0" quotePrefix="0" xfId="0">
      <alignment horizontal="center" vertical="bottom"/>
    </xf>
    <xf numFmtId="9" fontId="8" fillId="0" borderId="1" applyAlignment="1" pivotButton="0" quotePrefix="0" xfId="0">
      <alignment horizontal="center" vertical="bottom"/>
    </xf>
    <xf numFmtId="0" fontId="7" fillId="0" borderId="1" applyAlignment="1" pivotButton="0" quotePrefix="0" xfId="0">
      <alignment horizontal="center" vertical="bottom"/>
    </xf>
    <xf numFmtId="3" fontId="8" fillId="0" borderId="1" applyAlignment="1" pivotButton="0" quotePrefix="0" xfId="0">
      <alignment horizontal="center" vertical="bottom"/>
    </xf>
    <xf numFmtId="165" fontId="8" fillId="0" borderId="1" applyAlignment="1" pivotButton="0" quotePrefix="0" xfId="0">
      <alignment horizontal="center" vertical="bottom"/>
    </xf>
    <xf numFmtId="166" fontId="8" fillId="0" borderId="1" applyAlignment="1" pivotButton="0" quotePrefix="0" xfId="0">
      <alignment horizontal="center" vertical="bottom"/>
    </xf>
    <xf numFmtId="0" fontId="8" fillId="0" borderId="1" applyAlignment="1" pivotButton="0" quotePrefix="0" xfId="0">
      <alignment horizontal="center" vertical="bottom"/>
    </xf>
    <xf numFmtId="0" fontId="11" fillId="0" borderId="0" applyAlignment="1" pivotButton="0" quotePrefix="0" xfId="0">
      <alignment horizontal="general" vertical="top" wrapText="1"/>
    </xf>
    <xf numFmtId="0" fontId="7" fillId="0" borderId="1" applyAlignment="1" pivotButton="0" quotePrefix="0" xfId="0">
      <alignment horizontal="general" vertical="center" wrapText="1"/>
    </xf>
    <xf numFmtId="0" fontId="8" fillId="0" borderId="1" applyAlignment="1" pivotButton="0" quotePrefix="0" xfId="0">
      <alignment horizontal="general" vertical="center" wrapText="1"/>
    </xf>
    <xf numFmtId="0" fontId="0" fillId="2" borderId="1" applyAlignment="1" pivotButton="0" quotePrefix="0" xfId="0">
      <alignment horizontal="general" vertical="center" wrapText="1"/>
    </xf>
    <xf numFmtId="0" fontId="0" fillId="4" borderId="1" applyAlignment="1" pivotButton="0" quotePrefix="0" xfId="0">
      <alignment horizontal="general" vertical="center" wrapText="1"/>
    </xf>
    <xf numFmtId="0" fontId="0" fillId="7" borderId="1" applyAlignment="1" pivotButton="0" quotePrefix="0" xfId="0">
      <alignment horizontal="general" vertical="center" wrapText="1"/>
    </xf>
    <xf numFmtId="0" fontId="0" fillId="6" borderId="1" applyAlignment="1" pivotButton="0" quotePrefix="0" xfId="0">
      <alignment horizontal="general" vertical="center" wrapText="1"/>
    </xf>
    <xf numFmtId="0" fontId="0" fillId="8" borderId="1" applyAlignment="1" pivotButton="0" quotePrefix="0" xfId="0">
      <alignment horizontal="general" vertical="center" wrapText="1"/>
    </xf>
    <xf numFmtId="0" fontId="0" fillId="9" borderId="1" applyAlignment="1" pivotButton="0" quotePrefix="0" xfId="0">
      <alignment horizontal="general" vertical="center" wrapText="1"/>
    </xf>
    <xf numFmtId="0" fontId="14" fillId="0" borderId="1" applyAlignment="1" pivotButton="0" quotePrefix="0" xfId="0">
      <alignment horizontal="general"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164" fontId="9" fillId="0" borderId="1" applyAlignment="1" pivotButton="0" quotePrefix="0" xfId="0">
      <alignment horizontal="general" vertical="top" wrapText="1"/>
    </xf>
    <xf numFmtId="0" fontId="9" fillId="0" borderId="1" applyAlignment="1" pivotButton="0" quotePrefix="0" xfId="0">
      <alignment horizontal="general" vertical="top" wrapText="1"/>
    </xf>
    <xf numFmtId="3" fontId="9" fillId="0" borderId="1" applyAlignment="1" pivotButton="0" quotePrefix="0" xfId="0">
      <alignment horizontal="center" vertical="top" wrapText="1"/>
    </xf>
    <xf numFmtId="165" fontId="9" fillId="0" borderId="1" applyAlignment="1" pivotButton="0" quotePrefix="0" xfId="0">
      <alignment horizontal="center" vertical="top" wrapText="1"/>
    </xf>
    <xf numFmtId="165" fontId="8" fillId="0" borderId="1" applyAlignment="1" pivotButton="0" quotePrefix="0" xfId="0">
      <alignment horizontal="center" vertical="top" wrapText="1"/>
    </xf>
    <xf numFmtId="166" fontId="8" fillId="0" borderId="1" applyAlignment="1" pivotButton="0" quotePrefix="0" xfId="0">
      <alignment horizontal="center" vertical="top" wrapText="1"/>
    </xf>
    <xf numFmtId="0" fontId="10"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11" fillId="0" borderId="0" applyAlignment="1" pivotButton="0" quotePrefix="0" xfId="0">
      <alignment horizontal="general" vertical="bottom"/>
    </xf>
    <xf numFmtId="0" fontId="12" fillId="3" borderId="0" applyAlignment="1" pivotButton="0" quotePrefix="0" xfId="0">
      <alignment horizontal="general" vertical="bottom"/>
    </xf>
    <xf numFmtId="0" fontId="13" fillId="4" borderId="0" applyAlignment="1" pivotButton="0" quotePrefix="0" xfId="0">
      <alignment horizontal="general" vertical="center"/>
    </xf>
    <xf numFmtId="0" fontId="8" fillId="0" borderId="1" applyAlignment="1" pivotButton="0" quotePrefix="0" xfId="0">
      <alignment horizontal="center" vertical="top" wrapText="1"/>
    </xf>
    <xf numFmtId="0" fontId="7" fillId="0" borderId="1" applyAlignment="1" pivotButton="0" quotePrefix="0" xfId="0">
      <alignment horizontal="center" vertical="top" wrapText="1"/>
    </xf>
    <xf numFmtId="0" fontId="7" fillId="5" borderId="1" applyAlignment="1" pivotButton="0" quotePrefix="0" xfId="0">
      <alignment horizontal="center" vertical="top" wrapText="1"/>
    </xf>
    <xf numFmtId="0" fontId="7" fillId="5" borderId="1" applyAlignment="1" pivotButton="0" quotePrefix="0" xfId="0">
      <alignment horizontal="general" vertical="top" wrapText="1"/>
    </xf>
    <xf numFmtId="166" fontId="7" fillId="5" borderId="1" applyAlignment="1" pivotButton="0" quotePrefix="0" xfId="0">
      <alignment horizontal="center" vertical="top" wrapText="1"/>
    </xf>
    <xf numFmtId="0" fontId="7" fillId="0" borderId="0" applyAlignment="1" pivotButton="0" quotePrefix="0" xfId="0">
      <alignment horizontal="center" vertical="top" wrapText="1"/>
    </xf>
    <xf numFmtId="0" fontId="14"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3" fillId="6" borderId="0" applyAlignment="1" pivotButton="0" quotePrefix="0" xfId="0">
      <alignment horizontal="general" vertical="center"/>
    </xf>
    <xf numFmtId="0" fontId="15" fillId="0" borderId="0" applyAlignment="1" pivotButton="0" quotePrefix="0" xfId="0">
      <alignment horizontal="general" vertical="bottom"/>
    </xf>
    <xf numFmtId="0" fontId="7" fillId="0" borderId="1" applyAlignment="1" pivotButton="0" quotePrefix="0" xfId="0">
      <alignment horizontal="general" vertical="bottom"/>
    </xf>
    <xf numFmtId="1" fontId="8" fillId="0" borderId="1" applyAlignment="1" pivotButton="0" quotePrefix="0" xfId="0">
      <alignment horizontal="center" vertical="bottom"/>
    </xf>
    <xf numFmtId="9" fontId="8" fillId="0" borderId="1" applyAlignment="1" pivotButton="0" quotePrefix="0" xfId="0">
      <alignment horizontal="center" vertical="bottom"/>
    </xf>
    <xf numFmtId="0" fontId="7" fillId="0" borderId="1" applyAlignment="1" pivotButton="0" quotePrefix="0" xfId="0">
      <alignment horizontal="center" vertical="bottom"/>
    </xf>
    <xf numFmtId="3" fontId="8" fillId="0" borderId="1" applyAlignment="1" pivotButton="0" quotePrefix="0" xfId="0">
      <alignment horizontal="center" vertical="bottom"/>
    </xf>
    <xf numFmtId="165" fontId="8" fillId="0" borderId="1" applyAlignment="1" pivotButton="0" quotePrefix="0" xfId="0">
      <alignment horizontal="center" vertical="bottom"/>
    </xf>
    <xf numFmtId="166" fontId="8" fillId="0" borderId="1" applyAlignment="1" pivotButton="0" quotePrefix="0" xfId="0">
      <alignment horizontal="center" vertical="bottom"/>
    </xf>
    <xf numFmtId="0" fontId="8" fillId="0" borderId="1" applyAlignment="1" pivotButton="0" quotePrefix="0" xfId="0">
      <alignment horizontal="center" vertical="bottom"/>
    </xf>
    <xf numFmtId="0" fontId="11" fillId="0" borderId="0" applyAlignment="1" pivotButton="0" quotePrefix="0" xfId="0">
      <alignment horizontal="general" vertical="top" wrapText="1"/>
    </xf>
    <xf numFmtId="0" fontId="7" fillId="0" borderId="1" applyAlignment="1" pivotButton="0" quotePrefix="0" xfId="0">
      <alignment horizontal="general" vertical="center" wrapText="1"/>
    </xf>
    <xf numFmtId="0" fontId="8" fillId="0" borderId="1" applyAlignment="1" pivotButton="0" quotePrefix="0" xfId="0">
      <alignment horizontal="general" vertical="center" wrapText="1"/>
    </xf>
    <xf numFmtId="0" fontId="0" fillId="10" borderId="1" applyAlignment="1" pivotButton="0" quotePrefix="0" xfId="0">
      <alignment horizontal="general" vertical="center" wrapText="1"/>
    </xf>
    <xf numFmtId="0" fontId="0" fillId="11" borderId="1" applyAlignment="1" pivotButton="0" quotePrefix="0" xfId="0">
      <alignment horizontal="general" vertical="center" wrapText="1"/>
    </xf>
    <xf numFmtId="0" fontId="0" fillId="12" borderId="1" applyAlignment="1" pivotButton="0" quotePrefix="0" xfId="0">
      <alignment horizontal="general" vertical="center" wrapText="1"/>
    </xf>
    <xf numFmtId="0" fontId="0" fillId="13" borderId="1" applyAlignment="1" pivotButton="0" quotePrefix="0" xfId="0">
      <alignment horizontal="general" vertical="center" wrapText="1"/>
    </xf>
    <xf numFmtId="0" fontId="0" fillId="8" borderId="1" applyAlignment="1" pivotButton="0" quotePrefix="0" xfId="0">
      <alignment horizontal="general" vertical="center" wrapText="1"/>
    </xf>
    <xf numFmtId="0" fontId="0" fillId="14" borderId="1" applyAlignment="1" pivotButton="0" quotePrefix="0" xfId="0">
      <alignment horizontal="general" vertical="center" wrapText="1"/>
    </xf>
    <xf numFmtId="0" fontId="0" fillId="0" borderId="4" pivotButton="0" quotePrefix="0" xfId="0"/>
    <xf numFmtId="0" fontId="0" fillId="0" borderId="5" pivotButton="0" quotePrefix="0" xfId="0"/>
    <xf numFmtId="0" fontId="14" fillId="0" borderId="1" applyAlignment="1" pivotButton="0" quotePrefix="0" xfId="0">
      <alignment horizontal="general"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bgColor rgb="FFDBE7FF"/>
        </patternFill>
      </fill>
    </dxf>
    <dxf>
      <fill>
        <patternFill>
          <bgColor rgb="FFFFDADB"/>
        </patternFill>
      </fill>
    </dxf>
    <dxf>
      <fill>
        <patternFill>
          <bgColor rgb="FFFFEFCC"/>
        </patternFill>
      </fill>
    </dxf>
    <dxf>
      <fill>
        <patternFill>
          <bgColor rgb="FFE3E8EF"/>
        </patternFill>
      </fill>
    </dxf>
    <dxf>
      <fill>
        <patternFill>
          <bgColor rgb="FFD4F4D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3E8EF"/>
      <rgbColor rgb="FF808080"/>
      <rgbColor rgb="FF9999FF"/>
      <rgbColor rgb="FF993366"/>
      <rgbColor rgb="FFFFEFCC"/>
      <rgbColor rgb="FFEAF0FF"/>
      <rgbColor rgb="FF660066"/>
      <rgbColor rgb="FFFF5A5F"/>
      <rgbColor rgb="FF0066CC"/>
      <rgbColor rgb="FFD5DBE5"/>
      <rgbColor rgb="FF000080"/>
      <rgbColor rgb="FFFF00FF"/>
      <rgbColor rgb="FFFFFF00"/>
      <rgbColor rgb="FF00FFFF"/>
      <rgbColor rgb="FF800080"/>
      <rgbColor rgb="FF800000"/>
      <rgbColor rgb="FF008080"/>
      <rgbColor rgb="FF0000FF"/>
      <rgbColor rgb="FF00CCFF"/>
      <rgbColor rgb="FFDBE7FF"/>
      <rgbColor rgb="FFD4F4DD"/>
      <rgbColor rgb="FFFFFF99"/>
      <rgbColor rgb="FFF7F9FC"/>
      <rgbColor rgb="FFFF99CC"/>
      <rgbColor rgb="FFCC99FF"/>
      <rgbColor rgb="FFFFDADB"/>
      <rgbColor rgb="FF2F6BFF"/>
      <rgbColor rgb="FF33CCCC"/>
      <rgbColor rgb="FF99CC00"/>
      <rgbColor rgb="FFFFCC00"/>
      <rgbColor rgb="FFFFB020"/>
      <rgbColor rgb="FFFF6600"/>
      <rgbColor rgb="FF5B6B7F"/>
      <rgbColor rgb="FF969696"/>
      <rgbColor rgb="FF003366"/>
      <rgbColor rgb="FF339966"/>
      <rgbColor rgb="FF0F1B2D"/>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T33"/>
  <sheetViews>
    <sheetView showFormulas="0" showGridLines="1" showRowColHeaders="1" showZeros="1" rightToLeft="0" tabSelected="1" showOutlineSymbols="1" defaultGridColor="1" view="normal" topLeftCell="A1" colorId="64" zoomScale="100" zoomScaleNormal="100" zoomScalePageLayoutView="100" workbookViewId="0">
      <pane xSplit="6" ySplit="4" topLeftCell="G5" activePane="bottomRight" state="frozen"/>
      <selection pane="topLeft" activeCell="A1" activeCellId="0" sqref="A1"/>
      <selection pane="topRight" activeCell="G1" activeCellId="0" sqref="G1"/>
      <selection pane="bottomLeft" activeCell="A5" activeCellId="0" sqref="A5"/>
      <selection pane="bottomRight" activeCell="A1" activeCellId="0" sqref="A1"/>
    </sheetView>
  </sheetViews>
  <sheetFormatPr baseColWidth="8" defaultColWidth="8.6796875" defaultRowHeight="15" zeroHeight="0" outlineLevelRow="0"/>
  <cols>
    <col width="6" customWidth="1" style="46" min="1" max="1"/>
    <col width="7" customWidth="1" style="46" min="2" max="2"/>
    <col width="17" customWidth="1" style="46" min="3" max="3"/>
    <col width="10" customWidth="1" style="46" min="4" max="4"/>
    <col width="20" customWidth="1" style="46" min="5" max="5"/>
    <col width="34" customWidth="1" style="46" min="6" max="6"/>
    <col width="40" customWidth="1" style="46" min="7" max="7"/>
    <col width="36" customWidth="1" style="46" min="8" max="8"/>
    <col width="14" customWidth="1" style="46" min="9" max="9"/>
    <col width="10" customWidth="1" style="46" min="10" max="10"/>
    <col width="11" customWidth="1" style="46" min="11" max="11"/>
    <col width="9" customWidth="1" style="46" min="12" max="12"/>
    <col width="11" customWidth="1" style="46" min="13" max="13"/>
    <col width="9" customWidth="1" style="46" min="14" max="15"/>
    <col width="11" customWidth="1" style="46" min="16" max="16"/>
    <col width="12" customWidth="1" style="46" min="17" max="19"/>
    <col width="38" customWidth="1" style="46" min="20" max="20"/>
  </cols>
  <sheetData>
    <row r="1" ht="19.7" customHeight="1" s="47">
      <c r="A1" s="48" t="inlineStr">
        <is>
          <t>Unpack &amp; Explain: 30-Day Content Plan &amp; Tracker</t>
        </is>
      </c>
    </row>
    <row r="2" ht="15" customHeight="1" s="47">
      <c r="A2" s="49" t="inlineStr">
        <is>
          <t>Blue text = inputs you edit. Black = formulas. Fill in the metrics columns after posting; the Summary tab updates itself.</t>
        </is>
      </c>
    </row>
    <row r="4" ht="31.5" customHeight="1" s="47">
      <c r="A4" s="50" t="inlineStr">
        <is>
          <t>ID</t>
        </is>
      </c>
      <c r="B4" s="50" t="inlineStr">
        <is>
          <t>Week</t>
        </is>
      </c>
      <c r="C4" s="50" t="inlineStr">
        <is>
          <t>Planned date</t>
        </is>
      </c>
      <c r="D4" s="50" t="inlineStr">
        <is>
          <t>Format</t>
        </is>
      </c>
      <c r="E4" s="50" t="inlineStr">
        <is>
          <t>Sub-area</t>
        </is>
      </c>
      <c r="F4" s="50" t="inlineStr">
        <is>
          <t>Topic</t>
        </is>
      </c>
      <c r="G4" s="50" t="inlineStr">
        <is>
          <t>Hook idea</t>
        </is>
      </c>
      <c r="H4" s="50" t="inlineStr">
        <is>
          <t>Source / verify before posting</t>
        </is>
      </c>
      <c r="I4" s="50" t="inlineStr">
        <is>
          <t>Status</t>
        </is>
      </c>
      <c r="J4" s="50" t="inlineStr">
        <is>
          <t>Reach</t>
        </is>
      </c>
      <c r="K4" s="50" t="inlineStr">
        <is>
          <t>Avg watch time %</t>
        </is>
      </c>
      <c r="L4" s="50" t="inlineStr">
        <is>
          <t>Likes</t>
        </is>
      </c>
      <c r="M4" s="50" t="inlineStr">
        <is>
          <t>Comments</t>
        </is>
      </c>
      <c r="N4" s="50" t="inlineStr">
        <is>
          <t>Shares</t>
        </is>
      </c>
      <c r="O4" s="50" t="inlineStr">
        <is>
          <t>Saves</t>
        </is>
      </c>
      <c r="P4" s="50" t="inlineStr">
        <is>
          <t>Follows gained</t>
        </is>
      </c>
      <c r="Q4" s="50" t="inlineStr">
        <is>
          <t>Engagement rate</t>
        </is>
      </c>
      <c r="R4" s="50" t="inlineStr">
        <is>
          <t>Share + save rate</t>
        </is>
      </c>
      <c r="S4" s="50" t="inlineStr">
        <is>
          <t>Follows per 1k reach</t>
        </is>
      </c>
      <c r="T4" s="50" t="inlineStr">
        <is>
          <t>Notes</t>
        </is>
      </c>
    </row>
    <row r="5" ht="43.5" customHeight="1" s="47">
      <c r="A5" s="51" t="inlineStr">
        <is>
          <t>1</t>
        </is>
      </c>
      <c r="B5" s="52" t="n">
        <v>1</v>
      </c>
      <c r="C5" s="53" t="n">
        <v>46328</v>
      </c>
      <c r="D5" s="54" t="inlineStr">
        <is>
          <t>E</t>
        </is>
      </c>
      <c r="E5" s="52" t="inlineStr">
        <is>
          <t>Money &amp; payments</t>
        </is>
      </c>
      <c r="F5" s="52" t="inlineStr">
        <is>
          <t>How a card payment works</t>
        </is>
      </c>
      <c r="G5" s="52" t="inlineStr">
        <is>
          <t>You tap your card. Up to 5 companies get involved in 2 seconds.</t>
        </is>
      </c>
      <c r="H5" s="52" t="inlineStr">
        <is>
          <t>Card network / acquirer docs; verify settlement timing</t>
        </is>
      </c>
      <c r="I5" s="54" t="inlineStr">
        <is>
          <t>Scripted</t>
        </is>
      </c>
      <c r="J5" s="55" t="n"/>
      <c r="K5" s="56" t="n"/>
      <c r="L5" s="55" t="n"/>
      <c r="M5" s="55" t="n"/>
      <c r="N5" s="55" t="n"/>
      <c r="O5" s="55" t="n"/>
      <c r="P5" s="55" t="n"/>
      <c r="Q5" s="57">
        <f>IF(J5&gt;0,(L5+M5+N5+O5)/J5,"")</f>
        <v/>
      </c>
      <c r="R5" s="57">
        <f>IF(J5&gt;0,(N5+O5)/J5,"")</f>
        <v/>
      </c>
      <c r="S5" s="58">
        <f>IF(J5&gt;0,P5/J5*1000,"")</f>
        <v/>
      </c>
      <c r="T5" s="52" t="n"/>
    </row>
    <row r="6" ht="43.5" customHeight="1" s="47">
      <c r="A6" s="51" t="inlineStr">
        <is>
          <t>2</t>
        </is>
      </c>
      <c r="B6" s="52" t="n">
        <v>1</v>
      </c>
      <c r="C6" s="53" t="n">
        <v>46329</v>
      </c>
      <c r="D6" s="54" t="inlineStr">
        <is>
          <t>E</t>
        </is>
      </c>
      <c r="E6" s="52" t="inlineStr">
        <is>
          <t>Everyday tech</t>
        </is>
      </c>
      <c r="F6" s="52" t="inlineStr">
        <is>
          <t>How GPS finds you</t>
        </is>
      </c>
      <c r="G6" s="52" t="inlineStr">
        <is>
          <t>GPS doesn't track you. Your phone just listens.</t>
        </is>
      </c>
      <c r="H6" s="52" t="inlineStr">
        <is>
          <t>GPS.gov; verify relativity figure</t>
        </is>
      </c>
      <c r="I6" s="54" t="inlineStr">
        <is>
          <t>Scripted</t>
        </is>
      </c>
      <c r="J6" s="55" t="n"/>
      <c r="K6" s="56" t="n"/>
      <c r="L6" s="55" t="n"/>
      <c r="M6" s="55" t="n"/>
      <c r="N6" s="55" t="n"/>
      <c r="O6" s="55" t="n"/>
      <c r="P6" s="55" t="n"/>
      <c r="Q6" s="57">
        <f>IF(J6&gt;0,(L6+M6+N6+O6)/J6,"")</f>
        <v/>
      </c>
      <c r="R6" s="57">
        <f>IF(J6&gt;0,(N6+O6)/J6,"")</f>
        <v/>
      </c>
      <c r="S6" s="58">
        <f>IF(J6&gt;0,P6/J6*1000,"")</f>
        <v/>
      </c>
      <c r="T6" s="52" t="n"/>
    </row>
    <row r="7" ht="43.5" customHeight="1" s="47">
      <c r="A7" s="51" t="inlineStr">
        <is>
          <t>3</t>
        </is>
      </c>
      <c r="B7" s="52" t="n">
        <v>1</v>
      </c>
      <c r="C7" s="53" t="n">
        <v>46331</v>
      </c>
      <c r="D7" s="54" t="inlineStr">
        <is>
          <t>F</t>
        </is>
      </c>
      <c r="E7" s="52" t="inlineStr">
        <is>
          <t>Aviation &amp; engineering</t>
        </is>
      </c>
      <c r="F7" s="52" t="inlineStr">
        <is>
          <t>How a jet engine works + Gimli Glider</t>
        </is>
      </c>
      <c r="G7" s="52" t="inlineStr">
        <is>
          <t>A passenger jet ran out of fuel at 41,000 ft. Both engines died.</t>
        </is>
      </c>
      <c r="H7" s="52" t="inlineStr">
        <is>
          <t>Canadian investigation into Air Canada Flight 143 (1983)</t>
        </is>
      </c>
      <c r="I7" s="54" t="inlineStr">
        <is>
          <t>Scripted</t>
        </is>
      </c>
      <c r="J7" s="55" t="n"/>
      <c r="K7" s="56" t="n"/>
      <c r="L7" s="55" t="n"/>
      <c r="M7" s="55" t="n"/>
      <c r="N7" s="55" t="n"/>
      <c r="O7" s="55" t="n"/>
      <c r="P7" s="55" t="n"/>
      <c r="Q7" s="57">
        <f>IF(J7&gt;0,(L7+M7+N7+O7)/J7,"")</f>
        <v/>
      </c>
      <c r="R7" s="57">
        <f>IF(J7&gt;0,(N7+O7)/J7,"")</f>
        <v/>
      </c>
      <c r="S7" s="58">
        <f>IF(J7&gt;0,P7/J7*1000,"")</f>
        <v/>
      </c>
      <c r="T7" s="52" t="n"/>
    </row>
    <row r="8" ht="43.5" customHeight="1" s="47">
      <c r="A8" s="51" t="inlineStr">
        <is>
          <t>4</t>
        </is>
      </c>
      <c r="B8" s="52" t="n">
        <v>1</v>
      </c>
      <c r="C8" s="53" t="n">
        <v>46332</v>
      </c>
      <c r="D8" s="54" t="inlineStr">
        <is>
          <t>Q</t>
        </is>
      </c>
      <c r="E8" s="52" t="inlineStr">
        <is>
          <t>Aviation &amp; engineering</t>
        </is>
      </c>
      <c r="F8" s="52" t="inlineStr">
        <is>
          <t>Myth: planes fly because air pushes up from below</t>
        </is>
      </c>
      <c r="G8" s="52" t="inlineStr">
        <is>
          <t>Most people explain lift wrong.</t>
        </is>
      </c>
      <c r="H8" s="52" t="inlineStr">
        <is>
          <t>NASA Glenn 'lift' explainer pages</t>
        </is>
      </c>
      <c r="I8" s="54" t="inlineStr">
        <is>
          <t>Scripted</t>
        </is>
      </c>
      <c r="J8" s="55" t="n"/>
      <c r="K8" s="56" t="n"/>
      <c r="L8" s="55" t="n"/>
      <c r="M8" s="55" t="n"/>
      <c r="N8" s="55" t="n"/>
      <c r="O8" s="55" t="n"/>
      <c r="P8" s="55" t="n"/>
      <c r="Q8" s="57">
        <f>IF(J8&gt;0,(L8+M8+N8+O8)/J8,"")</f>
        <v/>
      </c>
      <c r="R8" s="57">
        <f>IF(J8&gt;0,(N8+O8)/J8,"")</f>
        <v/>
      </c>
      <c r="S8" s="58">
        <f>IF(J8&gt;0,P8/J8*1000,"")</f>
        <v/>
      </c>
      <c r="T8" s="52" t="n"/>
    </row>
    <row r="9" ht="43.5" customHeight="1" s="47">
      <c r="A9" s="51" t="inlineStr">
        <is>
          <t>C1</t>
        </is>
      </c>
      <c r="B9" s="52" t="n">
        <v>1</v>
      </c>
      <c r="C9" s="53" t="n">
        <v>46330</v>
      </c>
      <c r="D9" s="54" t="inlineStr">
        <is>
          <t>Carousel</t>
        </is>
      </c>
      <c r="E9" s="52" t="inlineStr">
        <is>
          <t>Money &amp; payments</t>
        </is>
      </c>
      <c r="F9" s="52" t="inlineStr">
        <is>
          <t>5 steps of a card payment</t>
        </is>
      </c>
      <c r="G9" s="52" t="inlineStr">
        <is>
          <t>Saveable cheat sheet</t>
        </is>
      </c>
      <c r="H9" s="52" t="inlineStr">
        <is>
          <t>Reuse facts from post 1</t>
        </is>
      </c>
      <c r="I9" s="54" t="inlineStr">
        <is>
          <t>Idea</t>
        </is>
      </c>
      <c r="J9" s="55" t="n"/>
      <c r="K9" s="56" t="n"/>
      <c r="L9" s="55" t="n"/>
      <c r="M9" s="55" t="n"/>
      <c r="N9" s="55" t="n"/>
      <c r="O9" s="55" t="n"/>
      <c r="P9" s="55" t="n"/>
      <c r="Q9" s="57">
        <f>IF(J9&gt;0,(L9+M9+N9+O9)/J9,"")</f>
        <v/>
      </c>
      <c r="R9" s="57">
        <f>IF(J9&gt;0,(N9+O9)/J9,"")</f>
        <v/>
      </c>
      <c r="S9" s="58">
        <f>IF(J9&gt;0,P9/J9*1000,"")</f>
        <v/>
      </c>
      <c r="T9" s="52" t="n"/>
    </row>
    <row r="10" ht="43.5" customHeight="1" s="47">
      <c r="A10" s="51" t="inlineStr">
        <is>
          <t>5</t>
        </is>
      </c>
      <c r="B10" s="52" t="n">
        <v>2</v>
      </c>
      <c r="C10" s="53" t="n">
        <v>46335</v>
      </c>
      <c r="D10" s="54" t="inlineStr">
        <is>
          <t>E</t>
        </is>
      </c>
      <c r="E10" s="52" t="inlineStr">
        <is>
          <t>Everyday tech</t>
        </is>
      </c>
      <c r="F10" s="52" t="inlineStr">
        <is>
          <t>How WiFi works</t>
        </is>
      </c>
      <c r="G10" s="52" t="inlineStr">
        <is>
          <t>WiFi is just radio, and your router is a tiny radio station.</t>
        </is>
      </c>
      <c r="H10" s="52" t="inlineStr">
        <is>
          <t>IEEE / Wi-Fi Alliance basics</t>
        </is>
      </c>
      <c r="I10" s="54" t="inlineStr">
        <is>
          <t>Idea</t>
        </is>
      </c>
      <c r="J10" s="55" t="n"/>
      <c r="K10" s="56" t="n"/>
      <c r="L10" s="55" t="n"/>
      <c r="M10" s="55" t="n"/>
      <c r="N10" s="55" t="n"/>
      <c r="O10" s="55" t="n"/>
      <c r="P10" s="55" t="n"/>
      <c r="Q10" s="57">
        <f>IF(J10&gt;0,(L10+M10+N10+O10)/J10,"")</f>
        <v/>
      </c>
      <c r="R10" s="57">
        <f>IF(J10&gt;0,(N10+O10)/J10,"")</f>
        <v/>
      </c>
      <c r="S10" s="58">
        <f>IF(J10&gt;0,P10/J10*1000,"")</f>
        <v/>
      </c>
      <c r="T10" s="52" t="n"/>
    </row>
    <row r="11" ht="43.5" customHeight="1" s="47">
      <c r="A11" s="51" t="inlineStr">
        <is>
          <t>6</t>
        </is>
      </c>
      <c r="B11" s="52" t="n">
        <v>2</v>
      </c>
      <c r="C11" s="53" t="n">
        <v>46336</v>
      </c>
      <c r="D11" s="54" t="inlineStr">
        <is>
          <t>F</t>
        </is>
      </c>
      <c r="E11" s="52" t="inlineStr">
        <is>
          <t>Money &amp; payments</t>
        </is>
      </c>
      <c r="F11" s="52" t="inlineStr">
        <is>
          <t>How stock exchanges match orders + Knight Capital</t>
        </is>
      </c>
      <c r="G11" s="52" t="inlineStr">
        <is>
          <t>A software glitch lost $440M in 45 minutes.</t>
        </is>
      </c>
      <c r="H11" s="52" t="inlineStr">
        <is>
          <t>SEC order on Knight Capital (2013)</t>
        </is>
      </c>
      <c r="I11" s="54" t="inlineStr">
        <is>
          <t>Idea</t>
        </is>
      </c>
      <c r="J11" s="55" t="n"/>
      <c r="K11" s="56" t="n"/>
      <c r="L11" s="55" t="n"/>
      <c r="M11" s="55" t="n"/>
      <c r="N11" s="55" t="n"/>
      <c r="O11" s="55" t="n"/>
      <c r="P11" s="55" t="n"/>
      <c r="Q11" s="57">
        <f>IF(J11&gt;0,(L11+M11+N11+O11)/J11,"")</f>
        <v/>
      </c>
      <c r="R11" s="57">
        <f>IF(J11&gt;0,(N11+O11)/J11,"")</f>
        <v/>
      </c>
      <c r="S11" s="58">
        <f>IF(J11&gt;0,P11/J11*1000,"")</f>
        <v/>
      </c>
      <c r="T11" s="52" t="n"/>
    </row>
    <row r="12" ht="43.5" customHeight="1" s="47">
      <c r="A12" s="51" t="inlineStr">
        <is>
          <t>7</t>
        </is>
      </c>
      <c r="B12" s="52" t="n">
        <v>2</v>
      </c>
      <c r="C12" s="53" t="n">
        <v>46338</v>
      </c>
      <c r="D12" s="54" t="inlineStr">
        <is>
          <t>E</t>
        </is>
      </c>
      <c r="E12" s="52" t="inlineStr">
        <is>
          <t>Money &amp; payments</t>
        </is>
      </c>
      <c r="F12" s="52" t="inlineStr">
        <is>
          <t>How credit scores work</t>
        </is>
      </c>
      <c r="G12" s="52" t="inlineStr">
        <is>
          <t>Your score is a guess about your future.</t>
        </is>
      </c>
      <c r="H12" s="52" t="inlineStr">
        <is>
          <t>Bureau/FICO public documentation</t>
        </is>
      </c>
      <c r="I12" s="54" t="inlineStr">
        <is>
          <t>Idea</t>
        </is>
      </c>
      <c r="J12" s="55" t="n"/>
      <c r="K12" s="56" t="n"/>
      <c r="L12" s="55" t="n"/>
      <c r="M12" s="55" t="n"/>
      <c r="N12" s="55" t="n"/>
      <c r="O12" s="55" t="n"/>
      <c r="P12" s="55" t="n"/>
      <c r="Q12" s="57">
        <f>IF(J12&gt;0,(L12+M12+N12+O12)/J12,"")</f>
        <v/>
      </c>
      <c r="R12" s="57">
        <f>IF(J12&gt;0,(N12+O12)/J12,"")</f>
        <v/>
      </c>
      <c r="S12" s="58">
        <f>IF(J12&gt;0,P12/J12*1000,"")</f>
        <v/>
      </c>
      <c r="T12" s="52" t="inlineStr">
        <is>
          <t>Scores differ by country; keep it general</t>
        </is>
      </c>
    </row>
    <row r="13" ht="43.5" customHeight="1" s="47">
      <c r="A13" s="51" t="inlineStr">
        <is>
          <t>8</t>
        </is>
      </c>
      <c r="B13" s="52" t="n">
        <v>2</v>
      </c>
      <c r="C13" s="53" t="n">
        <v>46339</v>
      </c>
      <c r="D13" s="54" t="inlineStr">
        <is>
          <t>Q</t>
        </is>
      </c>
      <c r="E13" s="52" t="inlineStr">
        <is>
          <t>Everyday tech</t>
        </is>
      </c>
      <c r="F13" s="52" t="inlineStr">
        <is>
          <t>Why airplane mode exists</t>
        </is>
      </c>
      <c r="G13" s="52" t="inlineStr">
        <is>
          <t>What actually happens if you don't switch it on?</t>
        </is>
      </c>
      <c r="H13" s="52" t="inlineStr">
        <is>
          <t>Aviation authority guidance</t>
        </is>
      </c>
      <c r="I13" s="54" t="inlineStr">
        <is>
          <t>Idea</t>
        </is>
      </c>
      <c r="J13" s="55" t="n"/>
      <c r="K13" s="56" t="n"/>
      <c r="L13" s="55" t="n"/>
      <c r="M13" s="55" t="n"/>
      <c r="N13" s="55" t="n"/>
      <c r="O13" s="55" t="n"/>
      <c r="P13" s="55" t="n"/>
      <c r="Q13" s="57">
        <f>IF(J13&gt;0,(L13+M13+N13+O13)/J13,"")</f>
        <v/>
      </c>
      <c r="R13" s="57">
        <f>IF(J13&gt;0,(N13+O13)/J13,"")</f>
        <v/>
      </c>
      <c r="S13" s="58">
        <f>IF(J13&gt;0,P13/J13*1000,"")</f>
        <v/>
      </c>
      <c r="T13" s="52" t="n"/>
    </row>
    <row r="14" ht="43.5" customHeight="1" s="47">
      <c r="A14" s="51" t="inlineStr">
        <is>
          <t>C2</t>
        </is>
      </c>
      <c r="B14" s="52" t="n">
        <v>2</v>
      </c>
      <c r="C14" s="53" t="n">
        <v>46337</v>
      </c>
      <c r="D14" s="54" t="inlineStr">
        <is>
          <t>Carousel</t>
        </is>
      </c>
      <c r="E14" s="52" t="inlineStr">
        <is>
          <t>Everyday tech</t>
        </is>
      </c>
      <c r="F14" s="52" t="inlineStr">
        <is>
          <t>How GPS works in 4 steps</t>
        </is>
      </c>
      <c r="G14" s="52" t="inlineStr">
        <is>
          <t>Saveable cheat sheet</t>
        </is>
      </c>
      <c r="H14" s="52" t="inlineStr">
        <is>
          <t>Reuse facts from post 2</t>
        </is>
      </c>
      <c r="I14" s="54" t="inlineStr">
        <is>
          <t>Idea</t>
        </is>
      </c>
      <c r="J14" s="55" t="n"/>
      <c r="K14" s="56" t="n"/>
      <c r="L14" s="55" t="n"/>
      <c r="M14" s="55" t="n"/>
      <c r="N14" s="55" t="n"/>
      <c r="O14" s="55" t="n"/>
      <c r="P14" s="55" t="n"/>
      <c r="Q14" s="57">
        <f>IF(J14&gt;0,(L14+M14+N14+O14)/J14,"")</f>
        <v/>
      </c>
      <c r="R14" s="57">
        <f>IF(J14&gt;0,(N14+O14)/J14,"")</f>
        <v/>
      </c>
      <c r="S14" s="58">
        <f>IF(J14&gt;0,P14/J14*1000,"")</f>
        <v/>
      </c>
      <c r="T14" s="52" t="n"/>
    </row>
    <row r="15" ht="43.5" customHeight="1" s="47">
      <c r="A15" s="51" t="inlineStr">
        <is>
          <t>9</t>
        </is>
      </c>
      <c r="B15" s="52" t="n">
        <v>3</v>
      </c>
      <c r="C15" s="53" t="n">
        <v>46342</v>
      </c>
      <c r="D15" s="54" t="inlineStr">
        <is>
          <t>F</t>
        </is>
      </c>
      <c r="E15" s="52" t="inlineStr">
        <is>
          <t>Aviation &amp; engineering</t>
        </is>
      </c>
      <c r="F15" s="52" t="inlineStr">
        <is>
          <t>How bridges carry load + Tacoma Narrows</t>
        </is>
      </c>
      <c r="G15" s="52" t="inlineStr">
        <is>
          <t>A bridge tore itself apart in a light wind.</t>
        </is>
      </c>
      <c r="H15" s="52" t="inlineStr">
        <is>
          <t>Washington State archives / FHWA</t>
        </is>
      </c>
      <c r="I15" s="54" t="inlineStr">
        <is>
          <t>Idea</t>
        </is>
      </c>
      <c r="J15" s="55" t="n"/>
      <c r="K15" s="56" t="n"/>
      <c r="L15" s="55" t="n"/>
      <c r="M15" s="55" t="n"/>
      <c r="N15" s="55" t="n"/>
      <c r="O15" s="55" t="n"/>
      <c r="P15" s="55" t="n"/>
      <c r="Q15" s="57">
        <f>IF(J15&gt;0,(L15+M15+N15+O15)/J15,"")</f>
        <v/>
      </c>
      <c r="R15" s="57">
        <f>IF(J15&gt;0,(N15+O15)/J15,"")</f>
        <v/>
      </c>
      <c r="S15" s="58">
        <f>IF(J15&gt;0,P15/J15*1000,"")</f>
        <v/>
      </c>
      <c r="T15" s="52" t="n"/>
    </row>
    <row r="16" ht="43.5" customHeight="1" s="47">
      <c r="A16" s="51" t="inlineStr">
        <is>
          <t>10</t>
        </is>
      </c>
      <c r="B16" s="52" t="n">
        <v>3</v>
      </c>
      <c r="C16" s="53" t="n">
        <v>46343</v>
      </c>
      <c r="D16" s="54" t="inlineStr">
        <is>
          <t>E</t>
        </is>
      </c>
      <c r="E16" s="52" t="inlineStr">
        <is>
          <t>Everyday tech</t>
        </is>
      </c>
      <c r="F16" s="52" t="inlineStr">
        <is>
          <t>How undersea cables carry the internet</t>
        </is>
      </c>
      <c r="G16" s="52" t="inlineStr">
        <is>
          <t>Most intercontinental data travels under the ocean.</t>
        </is>
      </c>
      <c r="H16" s="52" t="inlineStr">
        <is>
          <t>TeleGeography; verify the percentage</t>
        </is>
      </c>
      <c r="I16" s="54" t="inlineStr">
        <is>
          <t>Idea</t>
        </is>
      </c>
      <c r="J16" s="55" t="n"/>
      <c r="K16" s="56" t="n"/>
      <c r="L16" s="55" t="n"/>
      <c r="M16" s="55" t="n"/>
      <c r="N16" s="55" t="n"/>
      <c r="O16" s="55" t="n"/>
      <c r="P16" s="55" t="n"/>
      <c r="Q16" s="57">
        <f>IF(J16&gt;0,(L16+M16+N16+O16)/J16,"")</f>
        <v/>
      </c>
      <c r="R16" s="57">
        <f>IF(J16&gt;0,(N16+O16)/J16,"")</f>
        <v/>
      </c>
      <c r="S16" s="58">
        <f>IF(J16&gt;0,P16/J16*1000,"")</f>
        <v/>
      </c>
      <c r="T16" s="52" t="inlineStr">
        <is>
          <t>Check the exact figure before using any number</t>
        </is>
      </c>
    </row>
    <row r="17" ht="43.5" customHeight="1" s="47">
      <c r="A17" s="51" t="inlineStr">
        <is>
          <t>11</t>
        </is>
      </c>
      <c r="B17" s="52" t="n">
        <v>3</v>
      </c>
      <c r="C17" s="53" t="n">
        <v>46345</v>
      </c>
      <c r="D17" s="54" t="inlineStr">
        <is>
          <t>E</t>
        </is>
      </c>
      <c r="E17" s="52" t="inlineStr">
        <is>
          <t>Aviation &amp; engineering</t>
        </is>
      </c>
      <c r="F17" s="52" t="inlineStr">
        <is>
          <t>How a plane's autopilot works</t>
        </is>
      </c>
      <c r="G17" s="52" t="inlineStr">
        <is>
          <t>Autopilot isn't flying the plane. It's following instructions.</t>
        </is>
      </c>
      <c r="H17" s="52" t="inlineStr">
        <is>
          <t>Aircraft manufacturer / FAA docs</t>
        </is>
      </c>
      <c r="I17" s="54" t="inlineStr">
        <is>
          <t>Idea</t>
        </is>
      </c>
      <c r="J17" s="55" t="n"/>
      <c r="K17" s="56" t="n"/>
      <c r="L17" s="55" t="n"/>
      <c r="M17" s="55" t="n"/>
      <c r="N17" s="55" t="n"/>
      <c r="O17" s="55" t="n"/>
      <c r="P17" s="55" t="n"/>
      <c r="Q17" s="57">
        <f>IF(J17&gt;0,(L17+M17+N17+O17)/J17,"")</f>
        <v/>
      </c>
      <c r="R17" s="57">
        <f>IF(J17&gt;0,(N17+O17)/J17,"")</f>
        <v/>
      </c>
      <c r="S17" s="58">
        <f>IF(J17&gt;0,P17/J17*1000,"")</f>
        <v/>
      </c>
      <c r="T17" s="52" t="n"/>
    </row>
    <row r="18" ht="43.5" customHeight="1" s="47">
      <c r="A18" s="51" t="inlineStr">
        <is>
          <t>12</t>
        </is>
      </c>
      <c r="B18" s="52" t="n">
        <v>3</v>
      </c>
      <c r="C18" s="53" t="n">
        <v>46346</v>
      </c>
      <c r="D18" s="54" t="inlineStr">
        <is>
          <t>Q</t>
        </is>
      </c>
      <c r="E18" s="52" t="inlineStr">
        <is>
          <t>Everyday tech</t>
        </is>
      </c>
      <c r="F18" s="52" t="inlineStr">
        <is>
          <t>Myth: 'Cloud storage is in the sky'</t>
        </is>
      </c>
      <c r="G18" s="52" t="inlineStr">
        <is>
          <t>The cloud is a very real building.</t>
        </is>
      </c>
      <c r="H18" s="52" t="inlineStr">
        <is>
          <t>Cloud provider data center docs</t>
        </is>
      </c>
      <c r="I18" s="54" t="inlineStr">
        <is>
          <t>Idea</t>
        </is>
      </c>
      <c r="J18" s="55" t="n"/>
      <c r="K18" s="56" t="n"/>
      <c r="L18" s="55" t="n"/>
      <c r="M18" s="55" t="n"/>
      <c r="N18" s="55" t="n"/>
      <c r="O18" s="55" t="n"/>
      <c r="P18" s="55" t="n"/>
      <c r="Q18" s="57">
        <f>IF(J18&gt;0,(L18+M18+N18+O18)/J18,"")</f>
        <v/>
      </c>
      <c r="R18" s="57">
        <f>IF(J18&gt;0,(N18+O18)/J18,"")</f>
        <v/>
      </c>
      <c r="S18" s="58">
        <f>IF(J18&gt;0,P18/J18*1000,"")</f>
        <v/>
      </c>
      <c r="T18" s="52" t="n"/>
    </row>
    <row r="19" ht="43.5" customHeight="1" s="47">
      <c r="A19" s="51" t="inlineStr">
        <is>
          <t>C3</t>
        </is>
      </c>
      <c r="B19" s="52" t="n">
        <v>3</v>
      </c>
      <c r="C19" s="53" t="n">
        <v>46344</v>
      </c>
      <c r="D19" s="54" t="inlineStr">
        <is>
          <t>Carousel</t>
        </is>
      </c>
      <c r="E19" s="52" t="inlineStr">
        <is>
          <t>Aviation &amp; engineering</t>
        </is>
      </c>
      <c r="F19" s="52" t="inlineStr">
        <is>
          <t>Jet engine in 4 stages</t>
        </is>
      </c>
      <c r="G19" s="52" t="inlineStr">
        <is>
          <t>Suck, squeeze, bang, blow</t>
        </is>
      </c>
      <c r="H19" s="52" t="inlineStr">
        <is>
          <t>Reuse facts from post 3</t>
        </is>
      </c>
      <c r="I19" s="54" t="inlineStr">
        <is>
          <t>Idea</t>
        </is>
      </c>
      <c r="J19" s="55" t="n"/>
      <c r="K19" s="56" t="n"/>
      <c r="L19" s="55" t="n"/>
      <c r="M19" s="55" t="n"/>
      <c r="N19" s="55" t="n"/>
      <c r="O19" s="55" t="n"/>
      <c r="P19" s="55" t="n"/>
      <c r="Q19" s="57">
        <f>IF(J19&gt;0,(L19+M19+N19+O19)/J19,"")</f>
        <v/>
      </c>
      <c r="R19" s="57">
        <f>IF(J19&gt;0,(N19+O19)/J19,"")</f>
        <v/>
      </c>
      <c r="S19" s="58">
        <f>IF(J19&gt;0,P19/J19*1000,"")</f>
        <v/>
      </c>
      <c r="T19" s="52" t="n"/>
    </row>
    <row r="20" ht="43.5" customHeight="1" s="47">
      <c r="A20" s="51" t="inlineStr">
        <is>
          <t>13</t>
        </is>
      </c>
      <c r="B20" s="52" t="n">
        <v>4</v>
      </c>
      <c r="C20" s="53" t="n">
        <v>46349</v>
      </c>
      <c r="D20" s="54" t="inlineStr">
        <is>
          <t>F</t>
        </is>
      </c>
      <c r="E20" s="52" t="inlineStr">
        <is>
          <t>Aviation &amp; engineering</t>
        </is>
      </c>
      <c r="F20" s="52" t="inlineStr">
        <is>
          <t>Unit conversions + Mars Climate Orbiter</t>
        </is>
      </c>
      <c r="G20" s="52" t="inlineStr">
        <is>
          <t>A $125M spacecraft was lost over a unit mix-up.</t>
        </is>
      </c>
      <c r="H20" s="52" t="inlineStr">
        <is>
          <t>NASA/JPL Mishap Investigation Board report</t>
        </is>
      </c>
      <c r="I20" s="54" t="inlineStr">
        <is>
          <t>Idea</t>
        </is>
      </c>
      <c r="J20" s="55" t="n"/>
      <c r="K20" s="56" t="n"/>
      <c r="L20" s="55" t="n"/>
      <c r="M20" s="55" t="n"/>
      <c r="N20" s="55" t="n"/>
      <c r="O20" s="55" t="n"/>
      <c r="P20" s="55" t="n"/>
      <c r="Q20" s="57">
        <f>IF(J20&gt;0,(L20+M20+N20+O20)/J20,"")</f>
        <v/>
      </c>
      <c r="R20" s="57">
        <f>IF(J20&gt;0,(N20+O20)/J20,"")</f>
        <v/>
      </c>
      <c r="S20" s="58">
        <f>IF(J20&gt;0,P20/J20*1000,"")</f>
        <v/>
      </c>
      <c r="T20" s="52" t="inlineStr">
        <is>
          <t>Same theme as post 3 (unit mix-up). Consider swapping to avoid repeating.</t>
        </is>
      </c>
    </row>
    <row r="21" ht="43.5" customHeight="1" s="47">
      <c r="A21" s="51" t="inlineStr">
        <is>
          <t>14</t>
        </is>
      </c>
      <c r="B21" s="52" t="n">
        <v>4</v>
      </c>
      <c r="C21" s="53" t="n">
        <v>46350</v>
      </c>
      <c r="D21" s="54" t="inlineStr">
        <is>
          <t>E</t>
        </is>
      </c>
      <c r="E21" s="52" t="inlineStr">
        <is>
          <t>Everyday tech</t>
        </is>
      </c>
      <c r="F21" s="52" t="inlineStr">
        <is>
          <t>How a QR code stores data</t>
        </is>
      </c>
      <c r="G21" s="52" t="inlineStr">
        <is>
          <t>A QR code is a tiny grid of yes/no answers.</t>
        </is>
      </c>
      <c r="H21" s="52" t="inlineStr">
        <is>
          <t>ISO/IEC 18004 overview</t>
        </is>
      </c>
      <c r="I21" s="54" t="inlineStr">
        <is>
          <t>Idea</t>
        </is>
      </c>
      <c r="J21" s="55" t="n"/>
      <c r="K21" s="56" t="n"/>
      <c r="L21" s="55" t="n"/>
      <c r="M21" s="55" t="n"/>
      <c r="N21" s="55" t="n"/>
      <c r="O21" s="55" t="n"/>
      <c r="P21" s="55" t="n"/>
      <c r="Q21" s="57">
        <f>IF(J21&gt;0,(L21+M21+N21+O21)/J21,"")</f>
        <v/>
      </c>
      <c r="R21" s="57">
        <f>IF(J21&gt;0,(N21+O21)/J21,"")</f>
        <v/>
      </c>
      <c r="S21" s="58">
        <f>IF(J21&gt;0,P21/J21*1000,"")</f>
        <v/>
      </c>
      <c r="T21" s="52" t="n"/>
    </row>
    <row r="22" ht="43.5" customHeight="1" s="47">
      <c r="A22" s="51" t="inlineStr">
        <is>
          <t>15</t>
        </is>
      </c>
      <c r="B22" s="52" t="n">
        <v>4</v>
      </c>
      <c r="C22" s="53" t="n">
        <v>46352</v>
      </c>
      <c r="D22" s="54" t="inlineStr">
        <is>
          <t>E</t>
        </is>
      </c>
      <c r="E22" s="52" t="inlineStr">
        <is>
          <t>Money &amp; payments</t>
        </is>
      </c>
      <c r="F22" s="52" t="inlineStr">
        <is>
          <t>How banks move money internationally (SWIFT)</t>
        </is>
      </c>
      <c r="G22" s="52" t="inlineStr">
        <is>
          <t>Sending $100 abroad can take 3 banks.</t>
        </is>
      </c>
      <c r="H22" s="52" t="inlineStr">
        <is>
          <t>SWIFT public docs; verify</t>
        </is>
      </c>
      <c r="I22" s="54" t="inlineStr">
        <is>
          <t>Idea</t>
        </is>
      </c>
      <c r="J22" s="55" t="n"/>
      <c r="K22" s="56" t="n"/>
      <c r="L22" s="55" t="n"/>
      <c r="M22" s="55" t="n"/>
      <c r="N22" s="55" t="n"/>
      <c r="O22" s="55" t="n"/>
      <c r="P22" s="55" t="n"/>
      <c r="Q22" s="57">
        <f>IF(J22&gt;0,(L22+M22+N22+O22)/J22,"")</f>
        <v/>
      </c>
      <c r="R22" s="57">
        <f>IF(J22&gt;0,(N22+O22)/J22,"")</f>
        <v/>
      </c>
      <c r="S22" s="58">
        <f>IF(J22&gt;0,P22/J22*1000,"")</f>
        <v/>
      </c>
      <c r="T22" s="52" t="n"/>
    </row>
    <row r="23" ht="43.5" customHeight="1" s="47">
      <c r="A23" s="51" t="inlineStr">
        <is>
          <t>16</t>
        </is>
      </c>
      <c r="B23" s="52" t="n">
        <v>4</v>
      </c>
      <c r="C23" s="53" t="n">
        <v>46353</v>
      </c>
      <c r="D23" s="54" t="inlineStr">
        <is>
          <t>Q</t>
        </is>
      </c>
      <c r="E23" s="52" t="inlineStr">
        <is>
          <t>Everyday tech</t>
        </is>
      </c>
      <c r="F23" s="52" t="inlineStr">
        <is>
          <t>Myth: 'Your phone needs a signal to use GPS'</t>
        </is>
      </c>
      <c r="G23" s="52" t="inlineStr">
        <is>
          <t>GPS works with no signal at all.</t>
        </is>
      </c>
      <c r="H23" s="52" t="inlineStr">
        <is>
          <t>GPS.gov</t>
        </is>
      </c>
      <c r="I23" s="54" t="inlineStr">
        <is>
          <t>Idea</t>
        </is>
      </c>
      <c r="J23" s="55" t="n"/>
      <c r="K23" s="56" t="n"/>
      <c r="L23" s="55" t="n"/>
      <c r="M23" s="55" t="n"/>
      <c r="N23" s="55" t="n"/>
      <c r="O23" s="55" t="n"/>
      <c r="P23" s="55" t="n"/>
      <c r="Q23" s="57">
        <f>IF(J23&gt;0,(L23+M23+N23+O23)/J23,"")</f>
        <v/>
      </c>
      <c r="R23" s="57">
        <f>IF(J23&gt;0,(N23+O23)/J23,"")</f>
        <v/>
      </c>
      <c r="S23" s="58">
        <f>IF(J23&gt;0,P23/J23*1000,"")</f>
        <v/>
      </c>
      <c r="T23" s="52" t="inlineStr">
        <is>
          <t>Pairs with post 2</t>
        </is>
      </c>
    </row>
    <row r="24" ht="43.5" customHeight="1" s="47">
      <c r="A24" s="51" t="inlineStr">
        <is>
          <t>C4</t>
        </is>
      </c>
      <c r="B24" s="52" t="n">
        <v>4</v>
      </c>
      <c r="C24" s="53" t="n">
        <v>46351</v>
      </c>
      <c r="D24" s="54" t="inlineStr">
        <is>
          <t>Carousel</t>
        </is>
      </c>
      <c r="E24" s="52" t="inlineStr">
        <is>
          <t>Mixed</t>
        </is>
      </c>
      <c r="F24" s="52" t="inlineStr">
        <is>
          <t>Best-performing topic as a recap</t>
        </is>
      </c>
      <c r="G24" s="52" t="inlineStr">
        <is>
          <t>Decide from your own data</t>
        </is>
      </c>
      <c r="H24" s="52" t="inlineStr">
        <is>
          <t>Pick after reviewing the Summary tab</t>
        </is>
      </c>
      <c r="I24" s="54" t="inlineStr">
        <is>
          <t>Idea</t>
        </is>
      </c>
      <c r="J24" s="55" t="n"/>
      <c r="K24" s="56" t="n"/>
      <c r="L24" s="55" t="n"/>
      <c r="M24" s="55" t="n"/>
      <c r="N24" s="55" t="n"/>
      <c r="O24" s="55" t="n"/>
      <c r="P24" s="55" t="n"/>
      <c r="Q24" s="57">
        <f>IF(J24&gt;0,(L24+M24+N24+O24)/J24,"")</f>
        <v/>
      </c>
      <c r="R24" s="57">
        <f>IF(J24&gt;0,(N24+O24)/J24,"")</f>
        <v/>
      </c>
      <c r="S24" s="58">
        <f>IF(J24&gt;0,P24/J24*1000,"")</f>
        <v/>
      </c>
      <c r="T24" s="52" t="n"/>
    </row>
    <row r="26" ht="15" customHeight="1" s="47">
      <c r="A26" s="59" t="inlineStr">
        <is>
          <t>Legend</t>
        </is>
      </c>
    </row>
    <row r="27" ht="15" customHeight="1" s="47">
      <c r="A27" s="60" t="inlineStr">
        <is>
          <t>E</t>
        </is>
      </c>
      <c r="C27" s="61" t="inlineStr">
        <is>
          <t>Pure explainer: saves, shares, authority</t>
        </is>
      </c>
    </row>
    <row r="28" ht="15" customHeight="1" s="47">
      <c r="A28" s="60" t="inlineStr">
        <is>
          <t>F</t>
        </is>
      </c>
      <c r="C28" s="61" t="inlineStr">
        <is>
          <t>Explainer + failure story: reach and watch time</t>
        </is>
      </c>
    </row>
    <row r="29" ht="15" customHeight="1" s="47">
      <c r="A29" s="60" t="inlineStr">
        <is>
          <t>Q</t>
        </is>
      </c>
      <c r="C29" s="61" t="inlineStr">
        <is>
          <t>Quick myth / fact: fast to make on busy days</t>
        </is>
      </c>
    </row>
    <row r="30" ht="15" customHeight="1" s="47">
      <c r="A30" s="60" t="inlineStr">
        <is>
          <t>Carousel</t>
        </is>
      </c>
      <c r="C30" s="61" t="inlineStr">
        <is>
          <t>Saveable cheat sheet: saves and shares</t>
        </is>
      </c>
    </row>
    <row r="31" ht="15" customHeight="1" s="47">
      <c r="A31" s="60" t="inlineStr">
        <is>
          <t>Metrics</t>
        </is>
      </c>
      <c r="C31" s="61" t="inlineStr">
        <is>
          <t>Engagement rate = (likes + comments + shares + saves) / reach. Watch time % as a fraction of video length (e.g. 45%).</t>
        </is>
      </c>
    </row>
    <row r="33" ht="15" customHeight="1" s="47">
      <c r="A33" s="62" t="inlineStr">
        <is>
          <t>Dates assume a Monday 2 Nov 2026 start (reels Mon/Tue/Thu/Fri, carousel Wed). Edit the Planned date column if you start later.</t>
        </is>
      </c>
    </row>
  </sheetData>
  <conditionalFormatting sqref="D5:D24">
    <cfRule type="expression" rank="0" priority="2" equalAverage="0" aboveAverage="0" dxfId="0" text="" percent="0" bottom="0">
      <formula>$D5="E"</formula>
    </cfRule>
    <cfRule type="expression" rank="0" priority="3" equalAverage="0" aboveAverage="0" dxfId="1" text="" percent="0" bottom="0">
      <formula>$D5="F"</formula>
    </cfRule>
    <cfRule type="expression" rank="0" priority="4" equalAverage="0" aboveAverage="0" dxfId="2" text="" percent="0" bottom="0">
      <formula>$D5="Q"</formula>
    </cfRule>
    <cfRule type="expression" rank="0" priority="5" equalAverage="0" aboveAverage="0" dxfId="3" text="" percent="0" bottom="0">
      <formula>$D5="Carousel"</formula>
    </cfRule>
  </conditionalFormatting>
  <conditionalFormatting sqref="I5:I24">
    <cfRule type="expression" rank="0" priority="6" equalAverage="0" aboveAverage="0" dxfId="4" text="" percent="0" bottom="0">
      <formula>$I5="Posted"</formula>
    </cfRule>
  </conditionalFormatting>
  <dataValidations count="2">
    <dataValidation sqref="I5:I24" showDropDown="0" showInputMessage="0" showErrorMessage="0" allowBlank="0" type="list" errorStyle="stop" operator="between">
      <formula1>"Idea,Scripted,Animated,Voiceover done,Scheduled,Posted"</formula1>
      <formula2>0</formula2>
    </dataValidation>
    <dataValidation sqref="D5:D24" showDropDown="0" showInputMessage="0" showErrorMessage="0" allowBlank="0" type="list" errorStyle="stop" operator="between">
      <formula1>"E,F,Q,Carousel"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52"/>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46" min="1" max="1"/>
    <col width="8" customWidth="1" style="46" min="2" max="2"/>
    <col width="16" customWidth="1" style="46" min="3" max="3"/>
    <col width="10" customWidth="1" style="46" min="4" max="4"/>
    <col width="62" customWidth="1" style="46" min="5" max="5"/>
    <col width="50" customWidth="1" style="46" min="6" max="6"/>
    <col width="9" customWidth="1" style="46" min="7" max="7"/>
    <col width="12" customWidth="1" style="46" min="8" max="8"/>
  </cols>
  <sheetData>
    <row r="1" ht="19.7" customHeight="1" s="47">
      <c r="A1" s="48" t="inlineStr">
        <is>
          <t>Week 1 Scripts (35-52 sec each)</t>
        </is>
      </c>
    </row>
    <row r="2" ht="15" customHeight="1" s="47">
      <c r="A2" s="49" t="inlineStr">
        <is>
          <t>Template: Question, Hook, Setup, Mechanism, Payoff, Congrats, CTA. Question asks the viewer about the topic and ends with '?'. Congrats starts with 'Congrats,' (comma, not '!'). CTA is always 'Follow Unpack and Explain for how things actually work.' Target 100-130 spoken words per reel. Figures marked 'verify' need a source check before posting.</t>
        </is>
      </c>
    </row>
    <row r="3" ht="15" customHeight="1" s="47">
      <c r="A3" s="60" t="inlineStr">
        <is>
          <t>Speaking pace (words per second)</t>
        </is>
      </c>
      <c r="D3" s="63" t="n">
        <v>2.5</v>
      </c>
      <c r="E3" s="62" t="inlineStr">
        <is>
          <t>Assumption: a typical AI voiceover reads roughly 2.5 words/second (about 150 wpm). Change it to match the voice you pick.</t>
        </is>
      </c>
    </row>
    <row r="4"/>
    <row r="5" ht="31.5" customHeight="1" s="47">
      <c r="A5" s="50" t="inlineStr">
        <is>
          <t>Post</t>
        </is>
      </c>
      <c r="B5" s="50" t="inlineStr">
        <is>
          <t>Format</t>
        </is>
      </c>
      <c r="C5" s="50" t="inlineStr">
        <is>
          <t>Section</t>
        </is>
      </c>
      <c r="D5" s="50" t="inlineStr">
        <is>
          <t>Time</t>
        </is>
      </c>
      <c r="E5" s="50" t="inlineStr">
        <is>
          <t>Voiceover</t>
        </is>
      </c>
      <c r="F5" s="50" t="inlineStr">
        <is>
          <t>Visual / animation</t>
        </is>
      </c>
      <c r="G5" s="50" t="inlineStr">
        <is>
          <t>Words</t>
        </is>
      </c>
      <c r="H5" s="50" t="inlineStr">
        <is>
          <t>Est. seconds</t>
        </is>
      </c>
    </row>
    <row r="6" ht="24" customHeight="1" s="47">
      <c r="A6" s="64" t="inlineStr">
        <is>
          <t>Post 1  |  E  |  How a card payment works</t>
        </is>
      </c>
    </row>
    <row r="7" ht="33.75" customHeight="1" s="47">
      <c r="A7" s="65" t="inlineStr">
        <is>
          <t>1</t>
        </is>
      </c>
      <c r="B7" s="65" t="inlineStr">
        <is>
          <t>E</t>
        </is>
      </c>
      <c r="C7" s="66" t="inlineStr">
        <is>
          <t>Question</t>
        </is>
      </c>
      <c r="D7" s="65" t="inlineStr">
        <is>
          <t>0-4s</t>
        </is>
      </c>
      <c r="E7" s="52" t="inlineStr">
        <is>
          <t>Do you know what really happens when you tap your card?</t>
        </is>
      </c>
      <c r="F7" s="52" t="inlineStr">
        <is>
          <t>Question card (template).</t>
        </is>
      </c>
      <c r="G7" s="65">
        <f>LEN(TRIM(E7))-LEN(SUBSTITUTE(TRIM(E7)," ",""))+1</f>
        <v/>
      </c>
      <c r="H7" s="58">
        <f>G7/$D$3</f>
        <v/>
      </c>
    </row>
    <row r="8" ht="33.75" customHeight="1" s="47">
      <c r="A8" s="65" t="inlineStr">
        <is>
          <t>1</t>
        </is>
      </c>
      <c r="B8" s="65" t="inlineStr">
        <is>
          <t>E</t>
        </is>
      </c>
      <c r="C8" s="66" t="inlineStr">
        <is>
          <t>Hook</t>
        </is>
      </c>
      <c r="D8" s="65" t="inlineStr">
        <is>
          <t>4-12s</t>
        </is>
      </c>
      <c r="E8" s="52" t="inlineStr">
        <is>
          <t>You tap your card, and it's approved in two seconds. In that time, up to five companies talk about you.</t>
        </is>
      </c>
      <c r="F8" s="52" t="inlineStr">
        <is>
          <t>Card taps a terminal; five dots light up one by one.</t>
        </is>
      </c>
      <c r="G8" s="65">
        <f>LEN(TRIM(E8))-LEN(SUBSTITUTE(TRIM(E8)," ",""))+1</f>
        <v/>
      </c>
      <c r="H8" s="58">
        <f>G8/$D$3</f>
        <v/>
      </c>
    </row>
    <row r="9" ht="33.75" customHeight="1" s="47">
      <c r="A9" s="65" t="inlineStr">
        <is>
          <t>1</t>
        </is>
      </c>
      <c r="B9" s="65" t="inlineStr">
        <is>
          <t>E</t>
        </is>
      </c>
      <c r="C9" s="66" t="inlineStr">
        <is>
          <t>Setup</t>
        </is>
      </c>
      <c r="D9" s="65" t="inlineStr">
        <is>
          <t>12-18s</t>
        </is>
      </c>
      <c r="E9" s="52" t="inlineStr">
        <is>
          <t>Your card doesn't hold your money. It holds a number that points to your bank.</t>
        </is>
      </c>
      <c r="F9" s="52" t="inlineStr">
        <is>
          <t>Card morphs into a number, then an arrow to a bank icon.</t>
        </is>
      </c>
      <c r="G9" s="65">
        <f>LEN(TRIM(E9))-LEN(SUBSTITUTE(TRIM(E9)," ",""))+1</f>
        <v/>
      </c>
      <c r="H9" s="58">
        <f>G9/$D$3</f>
        <v/>
      </c>
    </row>
    <row r="10" ht="33.75" customHeight="1" s="47">
      <c r="A10" s="65" t="inlineStr">
        <is>
          <t>1</t>
        </is>
      </c>
      <c r="B10" s="65" t="inlineStr">
        <is>
          <t>E</t>
        </is>
      </c>
      <c r="C10" s="66" t="inlineStr">
        <is>
          <t>Mechanism</t>
        </is>
      </c>
      <c r="D10" s="65" t="inlineStr">
        <is>
          <t>18-34s</t>
        </is>
      </c>
      <c r="E10" s="52" t="inlineStr">
        <is>
          <t>The terminal sends your request to the shop's bank. That bank passes it to the card network. The network finds your bank. Your bank checks your balance and fraud signals, then says yes or no. The answer races back.</t>
        </is>
      </c>
      <c r="F10" s="52" t="inlineStr">
        <is>
          <t>Left-to-right chain: Terminal &gt; Shop's bank &gt; Card network &gt; Your bank. A glowing packet travels forward, then returns with a green tick. Step numbers 1-4 pop in.</t>
        </is>
      </c>
      <c r="G10" s="65">
        <f>LEN(TRIM(E10))-LEN(SUBSTITUTE(TRIM(E10)," ",""))+1</f>
        <v/>
      </c>
      <c r="H10" s="58">
        <f>G10/$D$3</f>
        <v/>
      </c>
    </row>
    <row r="11" ht="33.75" customHeight="1" s="47">
      <c r="A11" s="65" t="inlineStr">
        <is>
          <t>1</t>
        </is>
      </c>
      <c r="B11" s="65" t="inlineStr">
        <is>
          <t>E</t>
        </is>
      </c>
      <c r="C11" s="66" t="inlineStr">
        <is>
          <t>Payoff</t>
        </is>
      </c>
      <c r="D11" s="65" t="inlineStr">
        <is>
          <t>34-43s</t>
        </is>
      </c>
      <c r="E11" s="52" t="inlineStr">
        <is>
          <t>But no money has moved yet. Those two seconds only bought a promise. Settlement, the real transfer, comes a day or two later.</t>
        </is>
      </c>
      <c r="F11" s="52" t="inlineStr">
        <is>
          <t>Chain greys out; a calendar flips forward.</t>
        </is>
      </c>
      <c r="G11" s="65">
        <f>LEN(TRIM(E11))-LEN(SUBSTITUTE(TRIM(E11)," ",""))+1</f>
        <v/>
      </c>
      <c r="H11" s="58">
        <f>G11/$D$3</f>
        <v/>
      </c>
    </row>
    <row r="12" ht="33.75" customHeight="1" s="47">
      <c r="A12" s="65" t="inlineStr">
        <is>
          <t>1</t>
        </is>
      </c>
      <c r="B12" s="65" t="inlineStr">
        <is>
          <t>E</t>
        </is>
      </c>
      <c r="C12" s="66" t="inlineStr">
        <is>
          <t>Congrats</t>
        </is>
      </c>
      <c r="D12" s="65" t="inlineStr">
        <is>
          <t>43-47s</t>
        </is>
      </c>
      <c r="E12" s="52" t="inlineStr">
        <is>
          <t>Congrats, you just learned how a card payment works.</t>
        </is>
      </c>
      <c r="F12" s="52" t="inlineStr">
        <is>
          <t>Congrats card: teal check + chime (template).</t>
        </is>
      </c>
      <c r="G12" s="65">
        <f>LEN(TRIM(E12))-LEN(SUBSTITUTE(TRIM(E12)," ",""))+1</f>
        <v/>
      </c>
      <c r="H12" s="58">
        <f>G12/$D$3</f>
        <v/>
      </c>
    </row>
    <row r="13" ht="33.75" customHeight="1" s="47">
      <c r="A13" s="65" t="inlineStr">
        <is>
          <t>1</t>
        </is>
      </c>
      <c r="B13" s="65" t="inlineStr">
        <is>
          <t>E</t>
        </is>
      </c>
      <c r="C13" s="66" t="inlineStr">
        <is>
          <t>CTA</t>
        </is>
      </c>
      <c r="D13" s="65" t="inlineStr">
        <is>
          <t>47-50s</t>
        </is>
      </c>
      <c r="E13" s="52" t="inlineStr">
        <is>
          <t>Follow Unpack and Explain for how things actually work.</t>
        </is>
      </c>
      <c r="F13" s="52" t="inlineStr">
        <is>
          <t>Logo + tagline card.</t>
        </is>
      </c>
      <c r="G13" s="65">
        <f>LEN(TRIM(E13))-LEN(SUBSTITUTE(TRIM(E13)," ",""))+1</f>
        <v/>
      </c>
      <c r="H13" s="58">
        <f>G13/$D$3</f>
        <v/>
      </c>
    </row>
    <row r="14" ht="33.75" customHeight="1" s="47">
      <c r="A14" s="67" t="n"/>
      <c r="B14" s="67" t="n"/>
      <c r="C14" s="67" t="inlineStr">
        <is>
          <t>Total</t>
        </is>
      </c>
      <c r="D14" s="67" t="n"/>
      <c r="E14" s="68">
        <f>IF(AND(G14&gt;=100,G14&lt;=130),"Within the 100-130 word target","Outside the 100-130 word target")</f>
        <v/>
      </c>
      <c r="F14" s="67" t="n"/>
      <c r="G14" s="67">
        <f>SUM(G7:G13)</f>
        <v/>
      </c>
      <c r="H14" s="69">
        <f>SUM(H7:H13)</f>
        <v/>
      </c>
    </row>
    <row r="15" ht="33.75" customHeight="1" s="47">
      <c r="C15" s="70" t="inlineStr">
        <is>
          <t>Sources / verify</t>
        </is>
      </c>
      <c r="D15" s="71" t="inlineStr">
        <is>
          <t>Verify: settlement timing varies by country and card network. Cite the source on screen.</t>
        </is>
      </c>
    </row>
    <row r="16" ht="33.75" customHeight="1" s="47">
      <c r="C16" s="70" t="inlineStr">
        <is>
          <t>Caption + hashtags</t>
        </is>
      </c>
      <c r="D16" s="71" t="inlineStr">
        <is>
          <t>Tapping your card feels instant, but there's a whole relay behind it. Save this for the next time someone asks how card payments work.  #howitworks #payments #fintech #explained</t>
        </is>
      </c>
    </row>
    <row r="17" ht="33.75" customHeight="1" s="47"/>
    <row r="18" ht="24" customHeight="1" s="47">
      <c r="A18" s="64" t="inlineStr">
        <is>
          <t>Post 2  |  E  |  How GPS finds you</t>
        </is>
      </c>
    </row>
    <row r="19" ht="33.75" customHeight="1" s="47">
      <c r="A19" s="65" t="inlineStr">
        <is>
          <t>2</t>
        </is>
      </c>
      <c r="B19" s="65" t="inlineStr">
        <is>
          <t>E</t>
        </is>
      </c>
      <c r="C19" s="66" t="inlineStr">
        <is>
          <t>Question</t>
        </is>
      </c>
      <c r="D19" s="65" t="inlineStr">
        <is>
          <t>0-3s</t>
        </is>
      </c>
      <c r="E19" s="52" t="inlineStr">
        <is>
          <t>Do you know how GPS actually finds you?</t>
        </is>
      </c>
      <c r="F19" s="52" t="inlineStr">
        <is>
          <t>Question card (template).</t>
        </is>
      </c>
      <c r="G19" s="65">
        <f>LEN(TRIM(E19))-LEN(SUBSTITUTE(TRIM(E19)," ",""))+1</f>
        <v/>
      </c>
      <c r="H19" s="58">
        <f>G19/$D$3</f>
        <v/>
      </c>
    </row>
    <row r="20" ht="33.75" customHeight="1" s="47">
      <c r="A20" s="65" t="inlineStr">
        <is>
          <t>2</t>
        </is>
      </c>
      <c r="B20" s="65" t="inlineStr">
        <is>
          <t>E</t>
        </is>
      </c>
      <c r="C20" s="66" t="inlineStr">
        <is>
          <t>Hook</t>
        </is>
      </c>
      <c r="D20" s="65" t="inlineStr">
        <is>
          <t>3-6s</t>
        </is>
      </c>
      <c r="E20" s="52" t="inlineStr">
        <is>
          <t>GPS doesn't track you. Your phone just listens.</t>
        </is>
      </c>
      <c r="F20" s="52" t="inlineStr">
        <is>
          <t>Phone icon with ears/sound waves; satellite beams arrive, nothing goes back.</t>
        </is>
      </c>
      <c r="G20" s="65">
        <f>LEN(TRIM(E20))-LEN(SUBSTITUTE(TRIM(E20)," ",""))+1</f>
        <v/>
      </c>
      <c r="H20" s="58">
        <f>G20/$D$3</f>
        <v/>
      </c>
    </row>
    <row r="21" ht="33.75" customHeight="1" s="47">
      <c r="A21" s="65" t="inlineStr">
        <is>
          <t>2</t>
        </is>
      </c>
      <c r="B21" s="65" t="inlineStr">
        <is>
          <t>E</t>
        </is>
      </c>
      <c r="C21" s="66" t="inlineStr">
        <is>
          <t>Setup</t>
        </is>
      </c>
      <c r="D21" s="65" t="inlineStr">
        <is>
          <t>6-12s</t>
        </is>
      </c>
      <c r="E21" s="52" t="inlineStr">
        <is>
          <t>About thirty GPS satellites orbit Earth, broadcasting precise timing signals and their positions.</t>
        </is>
      </c>
      <c r="F21" s="52" t="inlineStr">
        <is>
          <t>Orbit animation, satellites emitting expanding rings.</t>
        </is>
      </c>
      <c r="G21" s="65">
        <f>LEN(TRIM(E21))-LEN(SUBSTITUTE(TRIM(E21)," ",""))+1</f>
        <v/>
      </c>
      <c r="H21" s="58">
        <f>G21/$D$3</f>
        <v/>
      </c>
    </row>
    <row r="22" ht="33.75" customHeight="1" s="47">
      <c r="A22" s="65" t="inlineStr">
        <is>
          <t>2</t>
        </is>
      </c>
      <c r="B22" s="65" t="inlineStr">
        <is>
          <t>E</t>
        </is>
      </c>
      <c r="C22" s="66" t="inlineStr">
        <is>
          <t>Mechanism</t>
        </is>
      </c>
      <c r="D22" s="65" t="inlineStr">
        <is>
          <t>12-28s</t>
        </is>
      </c>
      <c r="E22" s="52" t="inlineStr">
        <is>
          <t>Each signal carries the satellite's position and the exact moment it was sent. Your phone measures how late each signal arrives. Delay times the speed of light gives distance. Three satellites can illustrate how your position is calculated. A fourth lets your phone solve for its own clock error, too.</t>
        </is>
      </c>
      <c r="F22" s="52" t="inlineStr">
        <is>
          <t>Circles from 3 satellites overlap at one point; a 4th circle snaps in and a small clock icon corrects itself.</t>
        </is>
      </c>
      <c r="G22" s="65">
        <f>LEN(TRIM(E22))-LEN(SUBSTITUTE(TRIM(E22)," ",""))+1</f>
        <v/>
      </c>
      <c r="H22" s="58">
        <f>G22/$D$3</f>
        <v/>
      </c>
    </row>
    <row r="23" ht="33.75" customHeight="1" s="47">
      <c r="A23" s="65" t="inlineStr">
        <is>
          <t>2</t>
        </is>
      </c>
      <c r="B23" s="65" t="inlineStr">
        <is>
          <t>E</t>
        </is>
      </c>
      <c r="C23" s="66" t="inlineStr">
        <is>
          <t>Payoff</t>
        </is>
      </c>
      <c r="D23" s="65" t="inlineStr">
        <is>
          <t>28-40s</t>
        </is>
      </c>
      <c r="E23" s="52" t="inlineStr">
        <is>
          <t>Your phone never sends anything back, so GPS works with no internet. And the satellites' clocks are corrected for relativity. Skip that, and you'd drift by several kilometers every day.</t>
        </is>
      </c>
      <c r="F23" s="52" t="inlineStr">
        <is>
          <t>Phone shows airplane mode and still has a location pin. Clock with a tiny correction arrow.</t>
        </is>
      </c>
      <c r="G23" s="65">
        <f>LEN(TRIM(E23))-LEN(SUBSTITUTE(TRIM(E23)," ",""))+1</f>
        <v/>
      </c>
      <c r="H23" s="58">
        <f>G23/$D$3</f>
        <v/>
      </c>
    </row>
    <row r="24" ht="33.75" customHeight="1" s="47">
      <c r="A24" s="65" t="inlineStr">
        <is>
          <t>2</t>
        </is>
      </c>
      <c r="B24" s="65" t="inlineStr">
        <is>
          <t>E</t>
        </is>
      </c>
      <c r="C24" s="66" t="inlineStr">
        <is>
          <t>Congrats</t>
        </is>
      </c>
      <c r="D24" s="65" t="inlineStr">
        <is>
          <t>40-44s</t>
        </is>
      </c>
      <c r="E24" s="52" t="inlineStr">
        <is>
          <t>Congrats, you just learned how GPS finds you.</t>
        </is>
      </c>
      <c r="F24" s="52" t="inlineStr">
        <is>
          <t>Congrats card: teal check + chime (template).</t>
        </is>
      </c>
      <c r="G24" s="65">
        <f>LEN(TRIM(E24))-LEN(SUBSTITUTE(TRIM(E24)," ",""))+1</f>
        <v/>
      </c>
      <c r="H24" s="58">
        <f>G24/$D$3</f>
        <v/>
      </c>
    </row>
    <row r="25" ht="33.75" customHeight="1" s="47">
      <c r="A25" s="65" t="inlineStr">
        <is>
          <t>2</t>
        </is>
      </c>
      <c r="B25" s="65" t="inlineStr">
        <is>
          <t>E</t>
        </is>
      </c>
      <c r="C25" s="66" t="inlineStr">
        <is>
          <t>CTA</t>
        </is>
      </c>
      <c r="D25" s="65" t="inlineStr">
        <is>
          <t>44-47s</t>
        </is>
      </c>
      <c r="E25" s="52" t="inlineStr">
        <is>
          <t>Follow Unpack and Explain for how things actually work.</t>
        </is>
      </c>
      <c r="F25" s="52" t="inlineStr">
        <is>
          <t>Logo + tagline card.</t>
        </is>
      </c>
      <c r="G25" s="65">
        <f>LEN(TRIM(E25))-LEN(SUBSTITUTE(TRIM(E25)," ",""))+1</f>
        <v/>
      </c>
      <c r="H25" s="58">
        <f>G25/$D$3</f>
        <v/>
      </c>
    </row>
    <row r="26" ht="24" customHeight="1" s="47">
      <c r="A26" s="67" t="n"/>
      <c r="B26" s="67" t="n"/>
      <c r="C26" s="67" t="inlineStr">
        <is>
          <t>Total</t>
        </is>
      </c>
      <c r="D26" s="67" t="n"/>
      <c r="E26" s="68">
        <f>IF(AND(G26&gt;=100,G26&lt;=130),"Within the 100-130 word target","Outside the 100-130 word target")</f>
        <v/>
      </c>
      <c r="F26" s="67" t="n"/>
      <c r="G26" s="67">
        <f>SUM(G19:G25)</f>
        <v/>
      </c>
      <c r="H26" s="69">
        <f>SUM(H19:H25)</f>
        <v/>
      </c>
    </row>
    <row r="27" ht="33.75" customHeight="1" s="47">
      <c r="C27" s="70" t="inlineStr">
        <is>
          <t>Sources / verify</t>
        </is>
      </c>
      <c r="D27" s="71" t="inlineStr">
        <is>
          <t>Verify: satellite count (about 30 operational), altitude, and the relativity drift figure (commonly cited around 10 km/day). Source: GPS.gov.</t>
        </is>
      </c>
    </row>
    <row r="28" ht="33.75" customHeight="1" s="47">
      <c r="C28" s="70" t="inlineStr">
        <is>
          <t>Caption + hashtags</t>
        </is>
      </c>
      <c r="D28" s="71" t="inlineStr">
        <is>
          <t>Your phone doesn't talk to GPS satellites. It only listens. Save this for the next time you hear 'GPS is tracking me'.  #GPS #howitworks #technology #explained</t>
        </is>
      </c>
    </row>
    <row r="29" ht="61.5" customHeight="1" s="47"/>
    <row r="30" ht="24" customHeight="1" s="47">
      <c r="A30" s="64" t="inlineStr">
        <is>
          <t>Post 3  |  F  |  How a jet engine works + Gimli Glider</t>
        </is>
      </c>
    </row>
    <row r="31" ht="33.75" customHeight="1" s="47">
      <c r="A31" s="65" t="inlineStr">
        <is>
          <t>3</t>
        </is>
      </c>
      <c r="B31" s="65" t="inlineStr">
        <is>
          <t>F</t>
        </is>
      </c>
      <c r="C31" s="66" t="inlineStr">
        <is>
          <t>Question</t>
        </is>
      </c>
      <c r="D31" s="65" t="inlineStr">
        <is>
          <t>0-4s</t>
        </is>
      </c>
      <c r="E31" s="52" t="inlineStr">
        <is>
          <t>Do you know how a jet engine actually works?</t>
        </is>
      </c>
      <c r="F31" s="52" t="inlineStr">
        <is>
          <t>Question card (template).</t>
        </is>
      </c>
      <c r="G31" s="65">
        <f>LEN(TRIM(E31))-LEN(SUBSTITUTE(TRIM(E31)," ",""))+1</f>
        <v/>
      </c>
      <c r="H31" s="58">
        <f>G31/$D$3</f>
        <v/>
      </c>
    </row>
    <row r="32" ht="33.75" customHeight="1" s="47">
      <c r="A32" s="65" t="inlineStr">
        <is>
          <t>3</t>
        </is>
      </c>
      <c r="B32" s="65" t="inlineStr">
        <is>
          <t>F</t>
        </is>
      </c>
      <c r="C32" s="66" t="inlineStr">
        <is>
          <t>Hook</t>
        </is>
      </c>
      <c r="D32" s="65" t="inlineStr">
        <is>
          <t>4-10s</t>
        </is>
      </c>
      <c r="E32" s="52" t="inlineStr">
        <is>
          <t>In 1983, a passenger jet lost both engines at 41,000 feet. Everyone survived. Here's why.</t>
        </is>
      </c>
      <c r="F32" s="52" t="inlineStr">
        <is>
          <t>Plane silhouette high over clouds; engine glow cuts out.</t>
        </is>
      </c>
      <c r="G32" s="65">
        <f>LEN(TRIM(E32))-LEN(SUBSTITUTE(TRIM(E32)," ",""))+1</f>
        <v/>
      </c>
      <c r="H32" s="58">
        <f>G32/$D$3</f>
        <v/>
      </c>
    </row>
    <row r="33" ht="33.75" customHeight="1" s="47">
      <c r="A33" s="65" t="inlineStr">
        <is>
          <t>3</t>
        </is>
      </c>
      <c r="B33" s="65" t="inlineStr">
        <is>
          <t>F</t>
        </is>
      </c>
      <c r="C33" s="66" t="inlineStr">
        <is>
          <t>Setup</t>
        </is>
      </c>
      <c r="D33" s="65" t="inlineStr">
        <is>
          <t>10-14s</t>
        </is>
      </c>
      <c r="E33" s="52" t="inlineStr">
        <is>
          <t>A jet engine is a machine that burns fuel without stopping.</t>
        </is>
      </c>
      <c r="F33" s="52" t="inlineStr">
        <is>
          <t>Cutaway of a turbofan engine.</t>
        </is>
      </c>
      <c r="G33" s="65">
        <f>LEN(TRIM(E33))-LEN(SUBSTITUTE(TRIM(E33)," ",""))+1</f>
        <v/>
      </c>
      <c r="H33" s="58">
        <f>G33/$D$3</f>
        <v/>
      </c>
    </row>
    <row r="34" ht="33.75" customHeight="1" s="47">
      <c r="A34" s="65" t="inlineStr">
        <is>
          <t>3</t>
        </is>
      </c>
      <c r="B34" s="65" t="inlineStr">
        <is>
          <t>F</t>
        </is>
      </c>
      <c r="C34" s="66" t="inlineStr">
        <is>
          <t>Mechanism</t>
        </is>
      </c>
      <c r="D34" s="65" t="inlineStr">
        <is>
          <t>14-28s</t>
        </is>
      </c>
      <c r="E34" s="52" t="inlineStr">
        <is>
          <t>Suck: a fan pulls in air. Squeeze: a compressor packs it tight. Bang: fuel burns in the middle. Blow: hot gas spins a turbine, then blasts out the back and pushes the plane forward.</t>
        </is>
      </c>
      <c r="F34" s="52" t="inlineStr">
        <is>
          <t>Four labeled stages light up in order along the engine cutaway (Suck, Squeeze, Bang, Blow).</t>
        </is>
      </c>
      <c r="G34" s="65">
        <f>LEN(TRIM(E34))-LEN(SUBSTITUTE(TRIM(E34)," ",""))+1</f>
        <v/>
      </c>
      <c r="H34" s="58">
        <f>G34/$D$3</f>
        <v/>
      </c>
    </row>
    <row r="35" ht="33.75" customHeight="1" s="47">
      <c r="A35" s="65" t="inlineStr">
        <is>
          <t>3</t>
        </is>
      </c>
      <c r="B35" s="65" t="inlineStr">
        <is>
          <t>F</t>
        </is>
      </c>
      <c r="C35" s="66" t="inlineStr">
        <is>
          <t>Payoff</t>
        </is>
      </c>
      <c r="D35" s="65" t="inlineStr">
        <is>
          <t>28-42s</t>
        </is>
      </c>
      <c r="E35" s="52" t="inlineStr">
        <is>
          <t>Air Canada Flight 143 ran dry after a pounds-versus-kilograms mix-up in the fuel calculation. The plane got less than half the fuel it needed. The pilots glided to an airfield in Gimli, Canada, and landed safely.</t>
        </is>
      </c>
      <c r="F35" s="52" t="inlineStr">
        <is>
          <t>Fuel gauge drains; unit labels lb and kg swap; glide path line arcs down to a runway.</t>
        </is>
      </c>
      <c r="G35" s="65">
        <f>LEN(TRIM(E35))-LEN(SUBSTITUTE(TRIM(E35)," ",""))+1</f>
        <v/>
      </c>
      <c r="H35" s="58">
        <f>G35/$D$3</f>
        <v/>
      </c>
    </row>
    <row r="36" ht="33.75" customHeight="1" s="47">
      <c r="A36" s="65" t="inlineStr">
        <is>
          <t>3</t>
        </is>
      </c>
      <c r="B36" s="65" t="inlineStr">
        <is>
          <t>F</t>
        </is>
      </c>
      <c r="C36" s="66" t="inlineStr">
        <is>
          <t>Congrats</t>
        </is>
      </c>
      <c r="D36" s="65" t="inlineStr">
        <is>
          <t>42-46s</t>
        </is>
      </c>
      <c r="E36" s="52" t="inlineStr">
        <is>
          <t>Congrats, you just learned how a jet engine works.</t>
        </is>
      </c>
      <c r="F36" s="52" t="inlineStr">
        <is>
          <t>Congrats card: teal check + chime (template).</t>
        </is>
      </c>
      <c r="G36" s="65">
        <f>LEN(TRIM(E36))-LEN(SUBSTITUTE(TRIM(E36)," ",""))+1</f>
        <v/>
      </c>
      <c r="H36" s="58">
        <f>G36/$D$3</f>
        <v/>
      </c>
    </row>
    <row r="37" ht="33.75" customHeight="1" s="47">
      <c r="A37" s="65" t="inlineStr">
        <is>
          <t>3</t>
        </is>
      </c>
      <c r="B37" s="65" t="inlineStr">
        <is>
          <t>F</t>
        </is>
      </c>
      <c r="C37" s="66" t="inlineStr">
        <is>
          <t>CTA</t>
        </is>
      </c>
      <c r="D37" s="65" t="inlineStr">
        <is>
          <t>46-49s</t>
        </is>
      </c>
      <c r="E37" s="52" t="inlineStr">
        <is>
          <t>Follow Unpack and Explain for how things actually work.</t>
        </is>
      </c>
      <c r="F37" s="52" t="inlineStr">
        <is>
          <t>Logo + tagline card.</t>
        </is>
      </c>
      <c r="G37" s="65">
        <f>LEN(TRIM(E37))-LEN(SUBSTITUTE(TRIM(E37)," ",""))+1</f>
        <v/>
      </c>
      <c r="H37" s="58">
        <f>G37/$D$3</f>
        <v/>
      </c>
    </row>
    <row r="38" ht="30" customHeight="1" s="47">
      <c r="A38" s="67" t="n"/>
      <c r="B38" s="67" t="n"/>
      <c r="C38" s="67" t="inlineStr">
        <is>
          <t>Total</t>
        </is>
      </c>
      <c r="D38" s="67" t="n"/>
      <c r="E38" s="68">
        <f>IF(AND(G38&gt;=100,G38&lt;=130),"Within the 100-130 word target","Outside the 100-130 word target")</f>
        <v/>
      </c>
      <c r="F38" s="67" t="n"/>
      <c r="G38" s="67">
        <f>SUM(G31:G37)</f>
        <v/>
      </c>
      <c r="H38" s="69">
        <f>SUM(H31:H37)</f>
        <v/>
      </c>
    </row>
    <row r="39" ht="33.75" customHeight="1" s="47">
      <c r="C39" s="70" t="inlineStr">
        <is>
          <t>Sources / verify</t>
        </is>
      </c>
      <c r="D39" s="71" t="inlineStr">
        <is>
          <t>Verify: altitude, fuel amounts, and that nobody was killed. Source: Canadian investigation report on Air Canada Flight 143. Keep the tone factual and credit the crew's skill.</t>
        </is>
      </c>
    </row>
    <row r="40" ht="33.75" customHeight="1" s="47">
      <c r="C40" s="70" t="inlineStr">
        <is>
          <t>Caption + hashtags</t>
        </is>
      </c>
      <c r="D40" s="71" t="inlineStr">
        <is>
          <t>Both engines stopped at 41,000 feet and the crew still landed the plane. Here's how a jet engine works, and what went wrong. Save for later.  #aviation #engineering #howitworks #explained</t>
        </is>
      </c>
    </row>
    <row r="41" ht="33.75" customHeight="1" s="47"/>
    <row r="42" ht="24" customHeight="1" s="47">
      <c r="A42" s="64" t="inlineStr">
        <is>
          <t>Post 4  |  Q  |  Myth: planes fly because air pushes up from below</t>
        </is>
      </c>
    </row>
    <row r="43" ht="33.75" customHeight="1" s="47">
      <c r="A43" s="65" t="inlineStr">
        <is>
          <t>4</t>
        </is>
      </c>
      <c r="B43" s="65" t="inlineStr">
        <is>
          <t>Q</t>
        </is>
      </c>
      <c r="C43" s="66" t="inlineStr">
        <is>
          <t>Question</t>
        </is>
      </c>
      <c r="D43" s="65" t="inlineStr">
        <is>
          <t>0-4s</t>
        </is>
      </c>
      <c r="E43" s="52" t="inlineStr">
        <is>
          <t>Do you know what really keeps a plane in the air?</t>
        </is>
      </c>
      <c r="F43" s="52" t="inlineStr">
        <is>
          <t>Question card (template).</t>
        </is>
      </c>
      <c r="G43" s="65">
        <f>LEN(TRIM(E43))-LEN(SUBSTITUTE(TRIM(E43)," ",""))+1</f>
        <v/>
      </c>
      <c r="H43" s="58">
        <f>G43/$D$3</f>
        <v/>
      </c>
    </row>
    <row r="44" ht="33.75" customHeight="1" s="47">
      <c r="A44" s="65" t="inlineStr">
        <is>
          <t>4</t>
        </is>
      </c>
      <c r="B44" s="65" t="inlineStr">
        <is>
          <t>Q</t>
        </is>
      </c>
      <c r="C44" s="66" t="inlineStr">
        <is>
          <t>Hook</t>
        </is>
      </c>
      <c r="D44" s="65" t="inlineStr">
        <is>
          <t>4-9s</t>
        </is>
      </c>
      <c r="E44" s="52" t="inlineStr">
        <is>
          <t>Myth: planes fly because air pushes up on the wing from below.</t>
        </is>
      </c>
      <c r="F44" s="52" t="inlineStr">
        <is>
          <t>Wing cross-section with a red 'MYTH' stamp.</t>
        </is>
      </c>
      <c r="G44" s="65">
        <f>LEN(TRIM(E44))-LEN(SUBSTITUTE(TRIM(E44)," ",""))+1</f>
        <v/>
      </c>
      <c r="H44" s="58">
        <f>G44/$D$3</f>
        <v/>
      </c>
    </row>
    <row r="45" ht="33.75" customHeight="1" s="47">
      <c r="A45" s="65" t="inlineStr">
        <is>
          <t>4</t>
        </is>
      </c>
      <c r="B45" s="65" t="inlineStr">
        <is>
          <t>Q</t>
        </is>
      </c>
      <c r="C45" s="66" t="inlineStr">
        <is>
          <t>Setup</t>
        </is>
      </c>
      <c r="D45" s="65" t="inlineStr">
        <is>
          <t>9-12s</t>
        </is>
      </c>
      <c r="E45" s="52" t="inlineStr">
        <is>
          <t>That's only part of the story.</t>
        </is>
      </c>
      <c r="F45" s="52" t="inlineStr">
        <is>
          <t>Stamp slides away.</t>
        </is>
      </c>
      <c r="G45" s="65">
        <f>LEN(TRIM(E45))-LEN(SUBSTITUTE(TRIM(E45)," ",""))+1</f>
        <v/>
      </c>
      <c r="H45" s="58">
        <f>G45/$D$3</f>
        <v/>
      </c>
    </row>
    <row r="46" ht="33.75" customHeight="1" s="47">
      <c r="A46" s="65" t="inlineStr">
        <is>
          <t>4</t>
        </is>
      </c>
      <c r="B46" s="65" t="inlineStr">
        <is>
          <t>Q</t>
        </is>
      </c>
      <c r="C46" s="66" t="inlineStr">
        <is>
          <t>Mechanism</t>
        </is>
      </c>
      <c r="D46" s="65" t="inlineStr">
        <is>
          <t>12-30s</t>
        </is>
      </c>
      <c r="E46" s="52" t="inlineStr">
        <is>
          <t>A wing is tilted and curved, so it bends the air flowing past it downward. Air above the wing speeds up and its pressure drops. Lower pressure on top, higher pressure below, and the wing is pushed up. Push air down, and the air pushes you up.</t>
        </is>
      </c>
      <c r="F46" s="52" t="inlineStr">
        <is>
          <t>Streamlines flow around the wing and bend downward; pressure colors (blue on top, orange below); arrow labeled LIFT.</t>
        </is>
      </c>
      <c r="G46" s="65">
        <f>LEN(TRIM(E46))-LEN(SUBSTITUTE(TRIM(E46)," ",""))+1</f>
        <v/>
      </c>
      <c r="H46" s="58">
        <f>G46/$D$3</f>
        <v/>
      </c>
    </row>
    <row r="47" ht="33.75" customHeight="1" s="47">
      <c r="A47" s="65" t="inlineStr">
        <is>
          <t>4</t>
        </is>
      </c>
      <c r="B47" s="65" t="inlineStr">
        <is>
          <t>Q</t>
        </is>
      </c>
      <c r="C47" s="66" t="inlineStr">
        <is>
          <t>Payoff</t>
        </is>
      </c>
      <c r="D47" s="65" t="inlineStr">
        <is>
          <t>30-40s</t>
        </is>
      </c>
      <c r="E47" s="52" t="inlineStr">
        <is>
          <t>And no, the air over the top isn't racing to catch up with the air below. It actually gets to the back first.</t>
        </is>
      </c>
      <c r="F47" s="52" t="inlineStr">
        <is>
          <t>Two dots race across the wing; the top dot wins.</t>
        </is>
      </c>
      <c r="G47" s="65">
        <f>LEN(TRIM(E47))-LEN(SUBSTITUTE(TRIM(E47)," ",""))+1</f>
        <v/>
      </c>
      <c r="H47" s="58">
        <f>G47/$D$3</f>
        <v/>
      </c>
    </row>
    <row r="48" ht="33.75" customHeight="1" s="47">
      <c r="A48" s="65" t="inlineStr">
        <is>
          <t>4</t>
        </is>
      </c>
      <c r="B48" s="65" t="inlineStr">
        <is>
          <t>Q</t>
        </is>
      </c>
      <c r="C48" s="66" t="inlineStr">
        <is>
          <t>Congrats</t>
        </is>
      </c>
      <c r="D48" s="65" t="inlineStr">
        <is>
          <t>40-44s</t>
        </is>
      </c>
      <c r="E48" s="52" t="inlineStr">
        <is>
          <t>Congrats, you just learned how a wing really makes lift.</t>
        </is>
      </c>
      <c r="F48" s="52" t="inlineStr">
        <is>
          <t>Congrats card: teal check + chime (template).</t>
        </is>
      </c>
      <c r="G48" s="65">
        <f>LEN(TRIM(E48))-LEN(SUBSTITUTE(TRIM(E48)," ",""))+1</f>
        <v/>
      </c>
      <c r="H48" s="58">
        <f>G48/$D$3</f>
        <v/>
      </c>
    </row>
    <row r="49" ht="33.75" customHeight="1" s="47">
      <c r="A49" s="65" t="inlineStr">
        <is>
          <t>4</t>
        </is>
      </c>
      <c r="B49" s="65" t="inlineStr">
        <is>
          <t>Q</t>
        </is>
      </c>
      <c r="C49" s="66" t="inlineStr">
        <is>
          <t>CTA</t>
        </is>
      </c>
      <c r="D49" s="65" t="inlineStr">
        <is>
          <t>44-47s</t>
        </is>
      </c>
      <c r="E49" s="52" t="inlineStr">
        <is>
          <t>Follow Unpack and Explain for how things actually work.</t>
        </is>
      </c>
      <c r="F49" s="52" t="inlineStr">
        <is>
          <t>Logo + tagline card.</t>
        </is>
      </c>
      <c r="G49" s="65">
        <f>LEN(TRIM(E49))-LEN(SUBSTITUTE(TRIM(E49)," ",""))+1</f>
        <v/>
      </c>
      <c r="H49" s="58">
        <f>G49/$D$3</f>
        <v/>
      </c>
    </row>
    <row r="50">
      <c r="A50" s="67" t="n"/>
      <c r="B50" s="67" t="n"/>
      <c r="C50" s="67" t="inlineStr">
        <is>
          <t>Total</t>
        </is>
      </c>
      <c r="D50" s="67" t="n"/>
      <c r="E50" s="68">
        <f>IF(AND(G50&gt;=100,G50&lt;=130),"Within the 100-130 word target","Outside the 100-130 word target")</f>
        <v/>
      </c>
      <c r="F50" s="67" t="n"/>
      <c r="G50" s="67">
        <f>SUM(G43:G49)</f>
        <v/>
      </c>
      <c r="H50" s="69">
        <f>SUM(H43:H49)</f>
        <v/>
      </c>
    </row>
    <row r="51" ht="33.75" customHeight="1" s="47">
      <c r="C51" s="70" t="inlineStr">
        <is>
          <t>Sources / verify</t>
        </is>
      </c>
      <c r="D51" s="71" t="inlineStr">
        <is>
          <t>Verify: wording of the lift explanation against NASA Glenn's pages. Keep it simple but not misleading.</t>
        </is>
      </c>
    </row>
    <row r="52" ht="33.75" customHeight="1" s="47">
      <c r="C52" s="70" t="inlineStr">
        <is>
          <t>Caption + hashtags</t>
        </is>
      </c>
      <c r="D52" s="71" t="inlineStr">
        <is>
          <t>Most of us learned lift wrong. Here's the short version. Save and share with the person who explained it to you.  #aviation #physics #mythbusting #explained</t>
        </is>
      </c>
    </row>
  </sheetData>
  <mergeCells count="12">
    <mergeCell ref="A18:H18"/>
    <mergeCell ref="D52:H52"/>
    <mergeCell ref="D39:H39"/>
    <mergeCell ref="A30:H30"/>
    <mergeCell ref="D15:H15"/>
    <mergeCell ref="D16:H16"/>
    <mergeCell ref="D28:H28"/>
    <mergeCell ref="A42:H42"/>
    <mergeCell ref="D27:H27"/>
    <mergeCell ref="D51:H51"/>
    <mergeCell ref="D40:H40"/>
    <mergeCell ref="A6:H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46" min="1" max="1"/>
    <col width="12" customWidth="1" style="46" min="2" max="3"/>
    <col width="14" customWidth="1" style="46" min="4" max="4"/>
    <col width="18" customWidth="1" style="46" min="5" max="5"/>
    <col width="20" customWidth="1" style="46" min="6" max="6"/>
    <col width="22" customWidth="1" style="46" min="7" max="7"/>
  </cols>
  <sheetData>
    <row r="1" ht="19.7" customHeight="1" s="47">
      <c r="A1" s="48" t="inlineStr">
        <is>
          <t>Performance Summary</t>
        </is>
      </c>
    </row>
    <row r="2" ht="15" customHeight="1" s="47">
      <c r="A2" s="49" t="inlineStr">
        <is>
          <t>Updates automatically from the Content Plan tab. Review after about 12-15 posts, then double down on the winning format.</t>
        </is>
      </c>
    </row>
    <row r="4" ht="15" customHeight="1" s="47">
      <c r="A4" s="74" t="inlineStr">
        <is>
          <t>Progress</t>
        </is>
      </c>
    </row>
    <row r="5" ht="15" customHeight="1" s="47">
      <c r="A5" s="75" t="inlineStr">
        <is>
          <t>Total planned posts</t>
        </is>
      </c>
      <c r="B5" s="76">
        <f>COUNTA('Content Plan'!$A$5:$A$24)</f>
        <v/>
      </c>
    </row>
    <row r="6" ht="15" customHeight="1" s="47">
      <c r="A6" s="75" t="inlineStr">
        <is>
          <t>Posted</t>
        </is>
      </c>
      <c r="B6" s="76">
        <f>COUNTIF('Content Plan'!$I$5:$I$24,"Posted")</f>
        <v/>
      </c>
    </row>
    <row r="7" ht="15" customHeight="1" s="47">
      <c r="A7" s="75" t="inlineStr">
        <is>
          <t>Progress</t>
        </is>
      </c>
      <c r="B7" s="77">
        <f>IFERROR(B6/B5,0)</f>
        <v/>
      </c>
    </row>
    <row r="10" ht="15" customHeight="1" s="47">
      <c r="A10" s="74" t="inlineStr">
        <is>
          <t>By format</t>
        </is>
      </c>
    </row>
    <row r="11" ht="31.5" customHeight="1" s="47">
      <c r="A11" s="50" t="inlineStr">
        <is>
          <t>Format</t>
        </is>
      </c>
      <c r="B11" s="50" t="inlineStr">
        <is>
          <t>Planned</t>
        </is>
      </c>
      <c r="C11" s="50" t="inlineStr">
        <is>
          <t>Posted</t>
        </is>
      </c>
      <c r="D11" s="50" t="inlineStr">
        <is>
          <t>Avg reach</t>
        </is>
      </c>
      <c r="E11" s="50" t="inlineStr">
        <is>
          <t>Avg watch time %</t>
        </is>
      </c>
      <c r="F11" s="50" t="inlineStr">
        <is>
          <t>Avg share + save rate</t>
        </is>
      </c>
      <c r="G11" s="50" t="inlineStr">
        <is>
          <t>Avg follows per 1k reach</t>
        </is>
      </c>
    </row>
    <row r="12" ht="15" customHeight="1" s="47">
      <c r="A12" s="78" t="inlineStr">
        <is>
          <t>E</t>
        </is>
      </c>
      <c r="B12" s="76">
        <f>COUNTIF('Content Plan'!$D$5:$D$24,A12)</f>
        <v/>
      </c>
      <c r="C12" s="76">
        <f>COUNTIFS('Content Plan'!$D$5:$D$24,A12,'Content Plan'!$I$5:$I$24,"Posted")</f>
        <v/>
      </c>
      <c r="D12" s="79">
        <f>IFERROR(AVERAGEIFS('Content Plan'!$J$5:$J$24,'Content Plan'!$D$5:$D$24,A12),"-")</f>
        <v/>
      </c>
      <c r="E12" s="80">
        <f>IFERROR(AVERAGEIFS('Content Plan'!$K$5:$K$24,'Content Plan'!$D$5:$D$24,A12),"-")</f>
        <v/>
      </c>
      <c r="F12" s="80">
        <f>IFERROR(AVERAGEIFS('Content Plan'!$R$5:$R$24,'Content Plan'!$D$5:$D$24,A12),"-")</f>
        <v/>
      </c>
      <c r="G12" s="81">
        <f>IFERROR(AVERAGEIFS('Content Plan'!$S$5:$S$24,'Content Plan'!$D$5:$D$24,A12),"-")</f>
        <v/>
      </c>
    </row>
    <row r="13" ht="15" customHeight="1" s="47">
      <c r="A13" s="78" t="inlineStr">
        <is>
          <t>F</t>
        </is>
      </c>
      <c r="B13" s="76">
        <f>COUNTIF('Content Plan'!$D$5:$D$24,A13)</f>
        <v/>
      </c>
      <c r="C13" s="76">
        <f>COUNTIFS('Content Plan'!$D$5:$D$24,A13,'Content Plan'!$I$5:$I$24,"Posted")</f>
        <v/>
      </c>
      <c r="D13" s="79">
        <f>IFERROR(AVERAGEIFS('Content Plan'!$J$5:$J$24,'Content Plan'!$D$5:$D$24,A13),"-")</f>
        <v/>
      </c>
      <c r="E13" s="80">
        <f>IFERROR(AVERAGEIFS('Content Plan'!$K$5:$K$24,'Content Plan'!$D$5:$D$24,A13),"-")</f>
        <v/>
      </c>
      <c r="F13" s="80">
        <f>IFERROR(AVERAGEIFS('Content Plan'!$R$5:$R$24,'Content Plan'!$D$5:$D$24,A13),"-")</f>
        <v/>
      </c>
      <c r="G13" s="81">
        <f>IFERROR(AVERAGEIFS('Content Plan'!$S$5:$S$24,'Content Plan'!$D$5:$D$24,A13),"-")</f>
        <v/>
      </c>
    </row>
    <row r="14" ht="15" customHeight="1" s="47">
      <c r="A14" s="78" t="inlineStr">
        <is>
          <t>Q</t>
        </is>
      </c>
      <c r="B14" s="76">
        <f>COUNTIF('Content Plan'!$D$5:$D$24,A14)</f>
        <v/>
      </c>
      <c r="C14" s="76">
        <f>COUNTIFS('Content Plan'!$D$5:$D$24,A14,'Content Plan'!$I$5:$I$24,"Posted")</f>
        <v/>
      </c>
      <c r="D14" s="79">
        <f>IFERROR(AVERAGEIFS('Content Plan'!$J$5:$J$24,'Content Plan'!$D$5:$D$24,A14),"-")</f>
        <v/>
      </c>
      <c r="E14" s="80">
        <f>IFERROR(AVERAGEIFS('Content Plan'!$K$5:$K$24,'Content Plan'!$D$5:$D$24,A14),"-")</f>
        <v/>
      </c>
      <c r="F14" s="80">
        <f>IFERROR(AVERAGEIFS('Content Plan'!$R$5:$R$24,'Content Plan'!$D$5:$D$24,A14),"-")</f>
        <v/>
      </c>
      <c r="G14" s="81">
        <f>IFERROR(AVERAGEIFS('Content Plan'!$S$5:$S$24,'Content Plan'!$D$5:$D$24,A14),"-")</f>
        <v/>
      </c>
    </row>
    <row r="15" ht="15" customHeight="1" s="47">
      <c r="A15" s="78" t="inlineStr">
        <is>
          <t>Carousel</t>
        </is>
      </c>
      <c r="B15" s="76">
        <f>COUNTIF('Content Plan'!$D$5:$D$24,A15)</f>
        <v/>
      </c>
      <c r="C15" s="76">
        <f>COUNTIFS('Content Plan'!$D$5:$D$24,A15,'Content Plan'!$I$5:$I$24,"Posted")</f>
        <v/>
      </c>
      <c r="D15" s="79">
        <f>IFERROR(AVERAGEIFS('Content Plan'!$J$5:$J$24,'Content Plan'!$D$5:$D$24,A15),"-")</f>
        <v/>
      </c>
      <c r="E15" s="80">
        <f>IFERROR(AVERAGEIFS('Content Plan'!$K$5:$K$24,'Content Plan'!$D$5:$D$24,A15),"-")</f>
        <v/>
      </c>
      <c r="F15" s="80">
        <f>IFERROR(AVERAGEIFS('Content Plan'!$R$5:$R$24,'Content Plan'!$D$5:$D$24,A15),"-")</f>
        <v/>
      </c>
      <c r="G15" s="81">
        <f>IFERROR(AVERAGEIFS('Content Plan'!$S$5:$S$24,'Content Plan'!$D$5:$D$24,A15),"-")</f>
        <v/>
      </c>
    </row>
    <row r="17" ht="15" customHeight="1" s="47">
      <c r="A17" s="74" t="inlineStr">
        <is>
          <t>Best format so far</t>
        </is>
      </c>
    </row>
    <row r="18" ht="15" customHeight="1" s="47">
      <c r="A18" s="75" t="inlineStr">
        <is>
          <t>By average watch time</t>
        </is>
      </c>
      <c r="B18" s="82">
        <f>IFERROR(INDEX($A$12:$A$15,MATCH(MAX(E12:E15),E12:E15,0)),"-")</f>
        <v/>
      </c>
    </row>
    <row r="19" ht="15" customHeight="1" s="47">
      <c r="A19" s="75" t="inlineStr">
        <is>
          <t>By share + save rate</t>
        </is>
      </c>
      <c r="B19" s="82">
        <f>IFERROR(INDEX($A$12:$A$15,MATCH(MAX(F12:F15),F12:F15,0)),"-")</f>
        <v/>
      </c>
    </row>
    <row r="20" ht="15" customHeight="1" s="47">
      <c r="A20" s="75" t="inlineStr">
        <is>
          <t>By follows per 1k reach</t>
        </is>
      </c>
      <c r="B20" s="82">
        <f>IFERROR(INDEX($A$12:$A$15,MATCH(MAX(G12:G15),G12:G15,0)),"-")</f>
        <v/>
      </c>
    </row>
    <row r="22" ht="39.75" customHeight="1" s="47">
      <c r="A22" s="83" t="inlineStr">
        <is>
          <t>Decision checkpoint: once about 12-15 posts are live, shift your mix toward whichever format wins on watch time, shares/saves, and follows. Small samples can mislead, so compare formats only when each has at least 3 posts.</t>
        </is>
      </c>
    </row>
  </sheetData>
  <mergeCells count="1">
    <mergeCell ref="A22:G2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46" min="1" max="1"/>
    <col width="30" customWidth="1" style="46" min="2" max="2"/>
    <col width="12" customWidth="1" style="46" min="3" max="4"/>
    <col width="52" customWidth="1" style="46" min="5" max="5"/>
  </cols>
  <sheetData>
    <row r="1" ht="19.7" customHeight="1" s="47">
      <c r="A1" s="48" t="inlineStr">
        <is>
          <t>Unpack &amp; Explain: Brand Kit</t>
        </is>
      </c>
    </row>
    <row r="2" ht="15" customHeight="1" s="47">
      <c r="A2" s="49" t="inlineStr">
        <is>
          <t>Tagline: How things actually work.</t>
        </is>
      </c>
    </row>
    <row r="4" ht="31.5" customHeight="1" s="47">
      <c r="A4" s="50" t="inlineStr">
        <is>
          <t>Role</t>
        </is>
      </c>
      <c r="B4" s="50" t="inlineStr">
        <is>
          <t>Name</t>
        </is>
      </c>
      <c r="C4" s="50" t="inlineStr">
        <is>
          <t>Hex</t>
        </is>
      </c>
      <c r="D4" s="50" t="inlineStr">
        <is>
          <t>Swatch</t>
        </is>
      </c>
      <c r="E4" s="50" t="inlineStr">
        <is>
          <t>Use</t>
        </is>
      </c>
    </row>
    <row r="5" ht="24" customHeight="1" s="47">
      <c r="A5" s="84" t="inlineStr">
        <is>
          <t>Background / text</t>
        </is>
      </c>
      <c r="B5" s="85" t="inlineStr">
        <is>
          <t>Slate Navy</t>
        </is>
      </c>
      <c r="C5" s="85" t="inlineStr">
        <is>
          <t>#0F172A</t>
        </is>
      </c>
      <c r="D5" s="86" t="n"/>
      <c r="E5" s="85" t="inlineStr">
        <is>
          <t>Reel backgrounds (radial to #1E293B)</t>
        </is>
      </c>
    </row>
    <row r="6" ht="24" customHeight="1" s="47">
      <c r="A6" s="84" t="inlineStr">
        <is>
          <t>Primary</t>
        </is>
      </c>
      <c r="B6" s="85" t="inlineStr">
        <is>
          <t>Brand Teal</t>
        </is>
      </c>
      <c r="C6" s="85" t="inlineStr">
        <is>
          <t>#2DD4BF</t>
        </is>
      </c>
      <c r="D6" s="87" t="n"/>
      <c r="E6" s="85" t="inlineStr">
        <is>
          <t>Diagrams, key highlights, 'correct', FACT stamp</t>
        </is>
      </c>
    </row>
    <row r="7" ht="24" customHeight="1" s="47">
      <c r="A7" s="84" t="inlineStr">
        <is>
          <t>Accent</t>
        </is>
      </c>
      <c r="B7" s="85" t="inlineStr">
        <is>
          <t>Signal Amber</t>
        </is>
      </c>
      <c r="C7" s="85" t="inlineStr">
        <is>
          <t>#F59E0B</t>
        </is>
      </c>
      <c r="D7" s="88" t="n"/>
      <c r="E7" s="85" t="inlineStr">
        <is>
          <t>Numbers, keywords, active caption word</t>
        </is>
      </c>
    </row>
    <row r="8" ht="24" customHeight="1" s="47">
      <c r="A8" s="84" t="inlineStr">
        <is>
          <t>Failure tag</t>
        </is>
      </c>
      <c r="B8" s="85" t="inlineStr">
        <is>
          <t>Alert Coral</t>
        </is>
      </c>
      <c r="C8" s="85" t="inlineStr">
        <is>
          <t>#FF5A5F</t>
        </is>
      </c>
      <c r="D8" s="89" t="n"/>
      <c r="E8" s="85" t="inlineStr">
        <is>
          <t>Only F-post failure segments, MYTH stamp, 'wrong' marks</t>
        </is>
      </c>
    </row>
    <row r="9" ht="24" customHeight="1" s="47">
      <c r="A9" s="84" t="inlineStr">
        <is>
          <t>Light background</t>
        </is>
      </c>
      <c r="B9" s="85" t="inlineStr">
        <is>
          <t>Cloud White</t>
        </is>
      </c>
      <c r="C9" s="85" t="inlineStr">
        <is>
          <t>#F7F9FC</t>
        </is>
      </c>
      <c r="D9" s="90" t="n"/>
      <c r="E9" s="85" t="inlineStr">
        <is>
          <t>Carousels and light cards</t>
        </is>
      </c>
    </row>
    <row r="10" ht="24" customHeight="1" s="47">
      <c r="A10" s="84" t="inlineStr">
        <is>
          <t>Secondary text</t>
        </is>
      </c>
      <c r="B10" s="85" t="inlineStr">
        <is>
          <t>Slate</t>
        </is>
      </c>
      <c r="C10" s="85" t="inlineStr">
        <is>
          <t>#94A3B8</t>
        </is>
      </c>
      <c r="D10" s="91" t="n"/>
      <c r="E10" s="85" t="inlineStr">
        <is>
          <t>Sources, small labels on dark backgrounds</t>
        </is>
      </c>
    </row>
    <row r="12" ht="15" customHeight="1" s="47">
      <c r="A12" s="74" t="inlineStr">
        <is>
          <t>Typography and template rules</t>
        </is>
      </c>
    </row>
    <row r="13" ht="25.5" customHeight="1" s="47">
      <c r="A13" s="84" t="inlineStr">
        <is>
          <t>Headline font</t>
        </is>
      </c>
      <c r="B13" s="85" t="inlineStr">
        <is>
          <t>Poppins SemiBold (free on Google Fonts)</t>
        </is>
      </c>
      <c r="C13" s="92" t="n"/>
      <c r="D13" s="93" t="n"/>
      <c r="E13" s="94" t="n"/>
    </row>
    <row r="14" ht="25.5" customHeight="1" s="47">
      <c r="A14" s="84" t="inlineStr">
        <is>
          <t>Body / caption font</t>
        </is>
      </c>
      <c r="B14" s="85" t="inlineStr">
        <is>
          <t>Inter Regular or Medium (free on Google Fonts)</t>
        </is>
      </c>
      <c r="C14" s="92" t="n"/>
      <c r="D14" s="93" t="n"/>
      <c r="E14" s="94" t="n"/>
    </row>
    <row r="15" ht="25.5" customHeight="1" s="47">
      <c r="A15" s="84" t="inlineStr">
        <is>
          <t>Captions</t>
        </is>
      </c>
      <c r="B15" s="85" t="inlineStr">
        <is>
          <t>Burned in on every reel, high contrast, 1-2 lines max</t>
        </is>
      </c>
      <c r="C15" s="92" t="n"/>
      <c r="D15" s="93" t="n"/>
      <c r="E15" s="94" t="inlineStr">
        <is>
          <t>Many people watch muted</t>
        </is>
      </c>
    </row>
    <row r="16" ht="25.5" customHeight="1" s="47">
      <c r="A16" s="84" t="inlineStr">
        <is>
          <t>Intro</t>
        </is>
      </c>
      <c r="B16" s="85" t="inlineStr">
        <is>
          <t>Under 1 second: logo sting plus the hook text</t>
        </is>
      </c>
      <c r="C16" s="92" t="n"/>
      <c r="D16" s="93" t="n"/>
      <c r="E16" s="94" t="inlineStr">
        <is>
          <t>Hook must land in the first 3 seconds</t>
        </is>
      </c>
    </row>
    <row r="17" ht="25.5" customHeight="1" s="47">
      <c r="A17" s="84" t="inlineStr">
        <is>
          <t>Diagram style</t>
        </is>
      </c>
      <c r="B17" s="85" t="inlineStr">
        <is>
          <t>Flat shapes, 2-3 colors per scene, one idea per step</t>
        </is>
      </c>
      <c r="C17" s="92" t="n"/>
      <c r="D17" s="93" t="n"/>
      <c r="E17" s="94" t="inlineStr">
        <is>
          <t>Reuse a master template so each reel is assembly</t>
        </is>
      </c>
    </row>
    <row r="18" ht="25.5" customHeight="1" s="47">
      <c r="A18" s="84" t="inlineStr">
        <is>
          <t>Voiceover</t>
        </is>
      </c>
      <c r="B18" s="85" t="inlineStr">
        <is>
          <t>Neutral AI voice, one voice for every reel</t>
        </is>
      </c>
      <c r="C18" s="92" t="n"/>
      <c r="D18" s="93" t="n"/>
      <c r="E18" s="94" t="inlineStr">
        <is>
          <t>Consistency builds recognition</t>
        </is>
      </c>
    </row>
    <row r="19" ht="25.5" customHeight="1" s="47">
      <c r="A19" s="84" t="inlineStr">
        <is>
          <t>Sources</t>
        </is>
      </c>
      <c r="B19" s="85" t="inlineStr">
        <is>
          <t>Name the source on screen in the last 3 seconds of F posts</t>
        </is>
      </c>
      <c r="C19" s="92" t="n"/>
      <c r="D19" s="93" t="n"/>
      <c r="E19" s="94" t="inlineStr">
        <is>
          <t>Builds trust</t>
        </is>
      </c>
    </row>
    <row r="20" ht="25.5" customHeight="1" s="47">
      <c r="A20" s="84" t="inlineStr">
        <is>
          <t>Units</t>
        </is>
      </c>
      <c r="B20" s="85" t="inlineStr">
        <is>
          <t>Show both metric and imperial where it matters</t>
        </is>
      </c>
      <c r="C20" s="92" t="n"/>
      <c r="D20" s="93" t="n"/>
      <c r="E20" s="94" t="inlineStr">
        <is>
          <t>Global audience</t>
        </is>
      </c>
    </row>
    <row r="21" ht="25.5" customHeight="1" s="47">
      <c r="A21" s="84" t="inlineStr">
        <is>
          <t>Handle ideas</t>
        </is>
      </c>
      <c r="B21" s="85" t="inlineStr">
        <is>
          <t>@unpackandexplain, @unpack.explain, @unpackexplain</t>
        </is>
      </c>
      <c r="C21" s="92" t="n"/>
      <c r="D21" s="93" t="n"/>
      <c r="E21" s="94" t="inlineStr">
        <is>
          <t>Check availability on Instagram first</t>
        </is>
      </c>
    </row>
  </sheetData>
  <mergeCells count="9">
    <mergeCell ref="B19:D19"/>
    <mergeCell ref="B14:D14"/>
    <mergeCell ref="B17:D17"/>
    <mergeCell ref="B18:D18"/>
    <mergeCell ref="B13:D13"/>
    <mergeCell ref="B21:D21"/>
    <mergeCell ref="B15:D15"/>
    <mergeCell ref="B16:D16"/>
    <mergeCell ref="B20:D2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2026-10-29T05:50:09Z</dcterms:created>
  <dcterms:modified xmlns:dcterms="http://purl.org/dc/terms/" xmlns:xsi="http://www.w3.org/2001/XMLSchema-instance" xsi:type="dcterms:W3CDTF">2026-10-29T11:53:20Z</dcterms:modified>
  <cp:revision>0</cp:revision>
</cp:coreProperties>
</file>